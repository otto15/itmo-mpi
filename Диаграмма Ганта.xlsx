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c5ed23b99e4e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лендарный план" sheetId="1" r:id="R673d47f0d3fc41a6"/>
    <x:sheet xmlns:r="http://schemas.openxmlformats.org/officeDocument/2006/relationships" name="Сводка" sheetId="2" r:id="R896f2ed985744691"/>
    <x:sheet xmlns:r="http://schemas.openxmlformats.org/officeDocument/2006/relationships" name="Диаграмма Ганта" sheetId="3" r:id="Rb0933809708b40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dd.mm.yyyy"/>
    <x:numFmt numFmtId="201" formatCode="#,##0"/>
    <x:numFmt numFmtId="202" formatCode="0 &quot;ч&quot;"/>
    <x:numFmt numFmtId="203" formatCode="#,##0 &quot;₽&quot;"/>
    <x:numFmt numFmtId="204" formatCode="0"/>
    <x:numFmt numFmtId="205" formatCode="dd.mm"/>
    <x:numFmt numFmtId="206" formatCode="yyyy-mm-dd"/>
    <x:numFmt numFmtId="207" formatCode="dd-mmm"/>
  </x:numFmts>
  <x:fonts count="2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4748B"/>
      <x:name val="Carlito"/>
    </x:font>
    <x:font>
      <x:b/>
      <x:sz val="11"/>
      <x:color rgb="FF172033"/>
      <x:name val="Carlito"/>
    </x:font>
    <x:font>
      <x:b/>
      <x:sz val="11"/>
      <x:color rgb="FF2563EB"/>
      <x:name val="Carlito"/>
    </x:font>
    <x:font>
      <x:b/>
      <x:sz val="11"/>
      <x:color rgb="FF16A34A"/>
      <x:name val="Carlito"/>
    </x:font>
    <x:font>
      <x:b/>
      <x:sz val="11"/>
      <x:color rgb="FFF59E0B"/>
      <x:name val="Carlito"/>
    </x:font>
    <x:font>
      <x:b/>
      <x:sz val="11"/>
      <x:color rgb="FFDC2626"/>
      <x:name val="Carlito"/>
    </x:font>
    <x:font>
      <x:b/>
      <x:sz val="15"/>
      <x:color rgb="FF16324F"/>
      <x:name val="Carlito"/>
    </x:font>
    <x:font>
      <x:b/>
      <x:sz val="11"/>
      <x:color rgb="FF16324F"/>
      <x:name val="Carlito"/>
    </x:font>
    <x:font>
      <x:b/>
      <x:sz val="11"/>
      <x:color rgb="FF15803D"/>
      <x:name val="Carlito"/>
    </x:font>
    <x:font>
      <x:sz val="14"/>
      <x:name val="Carlito"/>
    </x:font>
    <x:font>
      <x:b/>
      <x:sz val="14"/>
      <x:color rgb="FF2563EB"/>
      <x:name val="Carlito"/>
    </x:font>
    <x:font>
      <x:b/>
      <x:sz val="14"/>
      <x:color rgb="FF16A34A"/>
      <x:name val="Carlito"/>
    </x:font>
    <x:font>
      <x:b/>
      <x:sz val="14"/>
      <x:color rgb="FFF59E0B"/>
      <x:name val="Carlito"/>
    </x:font>
    <x:font>
      <x:b/>
      <x:sz val="14"/>
      <x:color rgb="FFDC2626"/>
      <x:name val="Carlito"/>
    </x:font>
    <x:font>
      <x:sz val="16"/>
      <x:color rgb="FF000000"/>
      <x:name val="Carlito"/>
    </x:font>
    <x:font>
      <x:i/>
      <x:sz val="11"/>
      <x:color rgb="FF000000"/>
      <x:name val="Carlito"/>
    </x:font>
    <x:font>
      <x:sz val="11"/>
      <x:color rgb="FF000000"/>
      <x:name val="Carlito"/>
    </x:font>
    <x:font>
      <x:b/>
      <x:sz val="16"/>
      <x:color rgb="FF000000"/>
      <x:name val="Carlito"/>
    </x:font>
    <x:font>
      <x:i/>
      <x:sz val="11"/>
      <x:color rgb="FF666666"/>
      <x:name val="Carlito"/>
    </x:font>
    <x:font>
      <x:b/>
      <x:sz val="11"/>
      <x:color rgb="FF000000"/>
      <x:name val="Carlito"/>
    </x:font>
    <x:font>
      <x:sz val="15"/>
      <x:color rgb="FF000000"/>
      <x:name val="Carlito"/>
    </x:font>
    <x:font>
      <x:b/>
      <x:sz val="15"/>
      <x:color rgb="FF000000"/>
      <x:name val="Carlito"/>
    </x:font>
    <x:font>
      <x:sz val="14"/>
      <x:color rgb="FF000000"/>
      <x:name val="Carlito"/>
    </x:font>
    <x:font>
      <x:sz val="14"/>
      <x:color rgb="FF4472C4"/>
      <x:name val="Carlito"/>
    </x:font>
    <x:font>
      <x:i/>
      <x:sz val="11"/>
      <x:color rgb="FF666666"/>
      <x:name val="Carlito"/>
    </x:font>
    <x:font>
      <x:i/>
      <x:sz val="11"/>
      <x:color rgb="FF666666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EF4FA"/>
      </x:patternFill>
    </x:fill>
    <x:fill>
      <x:patternFill patternType="solid">
        <x:fgColor rgb="FFDCE6F1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F8FAFC"/>
      </x:patternFill>
    </x:fill>
    <x:fill>
      <x:patternFill patternType="solid">
        <x:fgColor rgb="FFE8EEF5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  <x:fill>
      <x:patternFill patternType="solid">
        <x:fgColor rgb="FFF2F2F2"/>
      </x:patternFill>
    </x:fill>
    <x:fill>
      <x:patternFill patternType="solid">
        <x:fgColor rgb="FF4472C4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43">
    <x:border/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  <x:bottom style="thin">
        <x:color rgb="FFE2E8F0"/>
      </x:bottom>
    </x:border>
    <x:border>
      <x:bottom style="double">
        <x:color rgb="FF16324F"/>
      </x:bottom>
    </x:border>
    <x:border>
      <x:bottom style="double">
        <x:color rgb="FF15803D"/>
      </x:bottom>
    </x:border>
    <x:border diagonalUp="0" diagonalDown="0">
      <x:left style="none"/>
      <x:top style="none"/>
    </x:border>
    <x:border diagonalUp="0" diagonalDown="0">
      <x:top style="none"/>
    </x:border>
    <x:border diagonalUp="0" diagonalDown="0">
      <x:right style="none"/>
      <x:top style="none"/>
    </x:border>
    <x:border diagonalUp="0" diagonalDown="0">
      <x:left style="none"/>
    </x:border>
    <x:border diagonalUp="0" diagonalDown="0">
      <x:right style="none"/>
    </x:border>
    <x:border diagonalUp="0" diagonalDown="0">
      <x:left style="none"/>
      <x:right style="thin">
        <x:color rgb="FFAAB7C4"/>
      </x:right>
      <x:top style="thin">
        <x:color rgb="FFAAB7C4"/>
      </x:top>
      <x:bottom style="thin">
        <x:color rgb="FFAAB7C4"/>
      </x:bottom>
    </x:border>
    <x:border diagonalUp="0" diagonalDown="0"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 diagonalUp="0" diagonalDown="0">
      <x:left style="thin">
        <x:color rgb="FFAAB7C4"/>
      </x:left>
      <x:right style="none"/>
      <x:top style="thin">
        <x:color rgb="FFAAB7C4"/>
      </x:top>
      <x:bottom style="thin">
        <x:color rgb="FFAAB7C4"/>
      </x:bottom>
    </x:border>
    <x:border diagonalUp="0" diagonalDown="0">
      <x:left style="none"/>
      <x:right style="thin">
        <x:color rgb="FFE2E8F0"/>
      </x:right>
      <x:bottom style="thin">
        <x:color rgb="FFE2E8F0"/>
      </x:bottom>
    </x:border>
    <x:border diagonalUp="0" diagonalDown="0">
      <x:left style="thin">
        <x:color rgb="FFE2E8F0"/>
      </x:left>
      <x:right style="thin">
        <x:color rgb="FFE2E8F0"/>
      </x:right>
      <x:bottom style="thin">
        <x:color rgb="FFE2E8F0"/>
      </x:bottom>
    </x:border>
    <x:border diagonalUp="0" diagonalDown="0">
      <x:left style="thin">
        <x:color rgb="FFE2E8F0"/>
      </x:left>
      <x:right style="none"/>
      <x:bottom style="thin">
        <x:color rgb="FFE2E8F0"/>
      </x:bottom>
    </x:border>
    <x:border diagonalUp="0" diagonalDown="0">
      <x:left style="none"/>
      <x:right style="thin">
        <x:color rgb="FFE2E8F0"/>
      </x:right>
      <x:top style="thin">
        <x:color rgb="FFE2E8F0"/>
      </x:top>
      <x:bottom style="thin">
        <x:color rgb="FFE2E8F0"/>
      </x:bottom>
    </x:border>
    <x:border diagonalUp="0" diagonalDown="0"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 diagonalUp="0" diagonalDown="0">
      <x:left style="thin">
        <x:color rgb="FFE2E8F0"/>
      </x:left>
      <x:right style="none"/>
      <x:top style="thin">
        <x:color rgb="FFE2E8F0"/>
      </x:top>
      <x:bottom style="thin">
        <x:color rgb="FFE2E8F0"/>
      </x:bottom>
    </x:border>
    <x:border diagonalUp="0" diagonalDown="0">
      <x:left style="none"/>
      <x:right style="thin">
        <x:color rgb="FFE2E8F0"/>
      </x:right>
      <x:top style="thin">
        <x:color rgb="FFE2E8F0"/>
      </x:top>
      <x:bottom style="none"/>
    </x:border>
    <x:border diagonalUp="0" diagonalDown="0">
      <x:left style="thin">
        <x:color rgb="FFE2E8F0"/>
      </x:left>
      <x:right style="thin">
        <x:color rgb="FFE2E8F0"/>
      </x:right>
      <x:top style="thin">
        <x:color rgb="FFE2E8F0"/>
      </x:top>
      <x:bottom style="none"/>
    </x:border>
    <x:border diagonalUp="0" diagonalDown="0">
      <x:left style="thin">
        <x:color rgb="FFE2E8F0"/>
      </x:left>
      <x:right style="none"/>
      <x:top style="thin">
        <x:color rgb="FFE2E8F0"/>
      </x:top>
      <x:bottom style="none"/>
    </x:border>
    <x:border diagonalUp="0" diagonalDown="0">
      <x:left style="none"/>
      <x:top style="none"/>
      <x:bottom style="none"/>
    </x:border>
    <x:border diagonalUp="0" diagonalDown="0">
      <x:top style="none"/>
      <x:bottom style="none"/>
    </x:border>
    <x:border diagonalUp="0" diagonalDown="0">
      <x:right style="none"/>
      <x:top style="none"/>
      <x:bottom style="none"/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BFBFBF"/>
      </x:left>
      <x:right style="thin">
        <x:color rgb="FFBFBFBF"/>
      </x:right>
      <x:top style="medium">
        <x:color rgb="FF808080"/>
      </x:top>
      <x:bottom style="thin">
        <x:color rgb="FFBFBFBF"/>
      </x:bottom>
    </x:border>
    <x:border diagonalUp="0" diagonalDown="0">
      <x:left style="none"/>
      <x:top style="thin">
        <x:color rgb="FFE2E8F0"/>
      </x:top>
      <x:bottom style="thin">
        <x:color rgb="FFE2E8F0"/>
      </x:bottom>
    </x:border>
    <x:border diagonalUp="0" diagonalDown="0">
      <x:top style="thin">
        <x:color rgb="FFE2E8F0"/>
      </x:top>
      <x:bottom style="thin">
        <x:color rgb="FFE2E8F0"/>
      </x:bottom>
    </x:border>
    <x:border diagonalUp="0" diagonalDown="0">
      <x:right style="thin">
        <x:color rgb="FFE2E8F0"/>
      </x:right>
      <x:top style="thin">
        <x:color rgb="FFE2E8F0"/>
      </x:top>
      <x:bottom style="thin">
        <x:color rgb="FFE2E8F0"/>
      </x:bottom>
    </x:border>
    <x:border diagonalUp="0" diagonalDown="0">
      <x:left style="thin">
        <x:color rgb="FFE2E8F0"/>
      </x:left>
      <x:top style="thin">
        <x:color rgb="FFE2E8F0"/>
      </x:top>
      <x:bottom style="thin">
        <x:color rgb="FFE2E8F0"/>
      </x:bottom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</x:borders>
  <x:cellStyleXfs count="1">
    <x:xf numFmtId="0" fontId="0" fillId="0" borderId="0"/>
  </x:cellStyleXfs>
  <x:cellXfs count="4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201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201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201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0" fillId="7" borderId="6" xfId="0" applyNumberFormat="1" applyFont="1" applyFill="1" applyBorder="1" applyAlignment="1">
      <x:alignment vertical="center" wrapText="1"/>
    </x:xf>
    <x:xf numFmtId="0" fontId="6" fillId="7" borderId="6" xfId="0" applyNumberFormat="1" applyFont="1" applyFill="1" applyBorder="1" applyAlignment="1">
      <x:alignment vertical="center" wrapText="1"/>
    </x:xf>
    <x:xf numFmtId="0" fontId="0" fillId="8" borderId="6" xfId="0" applyNumberFormat="1" applyFont="1" applyFill="1" applyBorder="1" applyAlignment="1">
      <x:alignment vertical="center" wrapText="1"/>
    </x:xf>
    <x:xf numFmtId="0" fontId="7" fillId="8" borderId="6" xfId="0" applyNumberFormat="1" applyFont="1" applyFill="1" applyBorder="1" applyAlignment="1">
      <x:alignment vertical="center" wrapText="1"/>
    </x:xf>
    <x:xf numFmtId="0" fontId="0" fillId="8" borderId="9" xfId="0" applyNumberFormat="1" applyFont="1" applyFill="1" applyBorder="1" applyAlignment="1">
      <x:alignment vertical="center" wrapText="1"/>
    </x:xf>
    <x:xf numFmtId="0" fontId="7" fillId="8" borderId="9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200" fontId="0" fillId="0" borderId="3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200" fontId="0" fillId="0" borderId="6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6" fillId="7" borderId="6" xfId="0" applyNumberFormat="1" applyFont="1" applyFill="1" applyBorder="1" applyAlignment="1">
      <x:alignment horizontal="center" vertical="center" wrapText="1"/>
    </x:xf>
    <x:xf numFmtId="0" fontId="7" fillId="8" borderId="6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7" fillId="8" borderId="9" xfId="0" applyNumberFormat="1" applyFont="1" applyFill="1" applyBorder="1" applyAlignment="1">
      <x:alignment horizontal="center" vertical="center" wrapText="1"/>
    </x:xf>
    <x:xf numFmtId="200" fontId="0" fillId="0" borderId="9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201" fontId="0" fillId="0" borderId="3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201" fontId="0" fillId="0" borderId="6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  <x:xf numFmtId="201" fontId="0" fillId="0" borderId="9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7" xfId="0" applyNumberFormat="1" applyFont="1" applyFill="1" applyBorder="1"/>
    <x:xf numFmtId="0" fontId="8" fillId="9" borderId="11" xfId="0" applyNumberFormat="1" applyFont="1" applyFill="1" applyBorder="1"/>
    <x:xf numFmtId="0" fontId="8" fillId="9" borderId="5" xfId="0" applyNumberFormat="1" applyFont="1" applyFill="1" applyBorder="1"/>
    <x:xf numFmtId="0" fontId="8" fillId="9" borderId="7" xfId="0" applyNumberFormat="1" applyFont="1" applyFill="1" applyBorder="1" applyAlignment="1">
      <x:alignment horizontal="center"/>
    </x:xf>
    <x:xf numFmtId="0" fontId="8" fillId="9" borderId="11" xfId="0" applyNumberFormat="1" applyFont="1" applyFill="1" applyBorder="1" applyAlignment="1">
      <x:alignment horizontal="center"/>
    </x:xf>
    <x:xf numFmtId="0" fontId="8" fillId="9" borderId="5" xfId="0" applyNumberFormat="1" applyFont="1" applyFill="1" applyBorder="1" applyAlignment="1">
      <x:alignment horizontal="center"/>
    </x:xf>
    <x:xf numFmtId="202" fontId="8" fillId="9" borderId="7" xfId="0" applyNumberFormat="1" applyFont="1" applyFill="1" applyBorder="1" applyAlignment="1">
      <x:alignment horizontal="center"/>
    </x:xf>
    <x:xf numFmtId="202" fontId="8" fillId="9" borderId="11" xfId="0" applyNumberFormat="1" applyFont="1" applyFill="1" applyBorder="1" applyAlignment="1">
      <x:alignment horizontal="center"/>
    </x:xf>
    <x:xf numFmtId="202" fontId="8" fillId="9" borderId="5" xfId="0" applyNumberFormat="1" applyFont="1" applyFill="1" applyBorder="1" applyAlignment="1">
      <x:alignment horizontal="center"/>
    </x:xf>
    <x:xf numFmtId="203" fontId="8" fillId="9" borderId="7" xfId="0" applyNumberFormat="1" applyFont="1" applyFill="1" applyBorder="1" applyAlignment="1">
      <x:alignment horizontal="center"/>
    </x:xf>
    <x:xf numFmtId="203" fontId="8" fillId="9" borderId="11" xfId="0" applyNumberFormat="1" applyFont="1" applyFill="1" applyBorder="1" applyAlignment="1">
      <x:alignment horizontal="center"/>
    </x:xf>
    <x:xf numFmtId="203" fontId="8" fillId="9" borderId="5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12" xfId="0" applyNumberFormat="1" applyFont="1" applyFill="1" applyBorder="1"/>
    <x:xf numFmtId="201" fontId="9" fillId="10" borderId="12" xfId="0" applyNumberFormat="1" applyFont="1" applyFill="1" applyBorder="1"/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13" xfId="0" applyNumberFormat="1" applyFont="1" applyFill="1" applyBorder="1"/>
    <x:xf numFmtId="0" fontId="3" fillId="4" borderId="6" xfId="0" applyNumberFormat="1" applyFont="1" applyFill="1" applyBorder="1" applyAlignment="1">
      <x:alignment horizontal="center" vertical="center" wrapText="1"/>
    </x:xf>
    <x:xf numFmtId="0" fontId="9" fillId="10" borderId="6" xfId="0" applyNumberFormat="1" applyFont="1" applyFill="1" applyBorder="1"/>
    <x:xf numFmtId="201" fontId="9" fillId="10" borderId="6" xfId="0" applyNumberFormat="1" applyFont="1" applyFill="1" applyBorder="1"/>
    <x:xf numFmtId="0" fontId="0" fillId="0" borderId="6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0" fontId="9" fillId="10" borderId="6" xfId="0" applyNumberFormat="1" applyFont="1" applyFill="1" applyBorder="1" applyAlignment="1">
      <x:alignment vertical="center"/>
    </x:xf>
    <x:xf numFmtId="201" fontId="9" fillId="10" borderId="6" xfId="0" applyNumberFormat="1" applyFont="1" applyFill="1" applyBorder="1" applyAlignment="1">
      <x:alignment vertical="center"/>
    </x:xf>
    <x:xf numFmtId="0" fontId="10" fillId="6" borderId="6" xfId="0" applyNumberFormat="1" applyFont="1" applyFill="1" applyBorder="1"/>
    <x:xf numFmtId="0" fontId="10" fillId="6" borderId="6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horizontal="right" vertical="center"/>
    </x:xf>
    <x:xf numFmtId="201" fontId="9" fillId="10" borderId="6" xfId="0" applyNumberFormat="1" applyFont="1" applyFill="1" applyBorder="1" applyAlignment="1">
      <x:alignment horizontal="right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9" fillId="10" borderId="6" xfId="0" applyNumberFormat="1" applyFont="1" applyFill="1" applyBorder="1" applyAlignment="1">
      <x:alignment horizontal="center" vertical="center"/>
    </x:xf>
    <x:xf numFmtId="0" fontId="10" fillId="6" borderId="6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/>
    <x:xf numFmtId="204" fontId="0" fillId="0" borderId="6" xfId="0" applyNumberFormat="1" applyFont="1" applyFill="1" applyBorder="1"/>
    <x:xf numFmtId="204" fontId="0" fillId="0" borderId="6" xfId="0" applyNumberFormat="1" applyFont="1" applyFill="1" applyBorder="1" applyAlignment="1">
      <x:alignment wrapText="1"/>
    </x:xf>
    <x:xf numFmtId="204" fontId="0" fillId="0" borderId="6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/>
    <x:xf numFmtId="205" fontId="0" fillId="4" borderId="0" xfId="0" applyNumberFormat="1" applyFont="1" applyFill="1" applyBorder="1"/>
    <x:xf numFmtId="205" fontId="3" fillId="4" borderId="0" xfId="0" applyNumberFormat="1" applyFont="1" applyFill="1" applyBorder="1"/>
    <x:xf numFmtId="205" fontId="3" fillId="4" borderId="1" xfId="0" applyNumberFormat="1" applyFont="1" applyFill="1" applyBorder="1"/>
    <x:xf numFmtId="205" fontId="3" fillId="4" borderId="1" xfId="0" applyNumberFormat="1" applyFont="1" applyFill="1" applyBorder="1" applyAlignment="1">
      <x:alignment wrapText="1"/>
    </x:xf>
    <x:xf numFmtId="205" fontId="3" fillId="4" borderId="1" xfId="0" applyNumberFormat="1" applyFont="1" applyFill="1" applyBorder="1" applyAlignment="1">
      <x:alignment horizontal="center" wrapText="1"/>
    </x:xf>
    <x:xf numFmtId="205" fontId="3" fillId="4" borderId="1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 applyAlignment="1">
      <x:alignment horizontal="center" vertical="center"/>
    </x:xf>
    <x:xf numFmtId="0" fontId="14" fillId="0" borderId="0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 applyAlignment="1">
      <x:alignment horizontal="center" vertical="center"/>
    </x:xf>
    <x:xf numFmtId="206" fontId="0" fillId="0" borderId="3" xfId="0" applyNumberFormat="1" applyFont="1" applyFill="1" applyBorder="1" applyAlignment="1">
      <x:alignment horizontal="center" vertical="center" wrapText="1"/>
    </x:xf>
    <x:xf numFmtId="206" fontId="0" fillId="0" borderId="6" xfId="0" applyNumberFormat="1" applyFont="1" applyFill="1" applyBorder="1" applyAlignment="1">
      <x:alignment horizontal="center" vertical="center" wrapText="1"/>
    </x:xf>
    <x:xf numFmtId="206" fontId="0" fillId="0" borderId="9" xfId="0" applyNumberFormat="1" applyFont="1" applyFill="1" applyBorder="1" applyAlignment="1">
      <x:alignment horizontal="center" vertical="center" wrapText="1"/>
    </x:xf>
    <x:xf numFmtId="206" fontId="0" fillId="0" borderId="6" xfId="0" applyNumberFormat="1" applyFont="1" applyFill="1" applyBorder="1" applyAlignment="1">
      <x:alignment vertical="center" wrapText="1"/>
    </x:xf>
    <x:xf numFmtId="207" fontId="3" fillId="4" borderId="1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left" vertical="center"/>
    </x:xf>
    <x:xf numFmtId="0" fontId="2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3" fillId="11" borderId="1" xfId="0" applyNumberFormat="1" applyFont="1" applyFill="1" applyBorder="1" applyAlignment="1">
      <x:alignment horizontal="center" vertical="center" wrapText="1"/>
    </x:xf>
    <x:xf numFmtId="0" fontId="0" fillId="11" borderId="2" xfId="0" applyNumberFormat="1" applyFont="1" applyFill="1" applyBorder="1" applyAlignment="1">
      <x:alignment horizontal="center" vertical="center" wrapText="1"/>
    </x:xf>
    <x:xf numFmtId="0" fontId="4" fillId="11" borderId="3" xfId="0" applyNumberFormat="1" applyFont="1" applyFill="1" applyBorder="1" applyAlignment="1">
      <x:alignment horizontal="center" vertical="center" wrapText="1"/>
    </x:xf>
    <x:xf numFmtId="206" fontId="0" fillId="11" borderId="3" xfId="0" applyNumberFormat="1" applyFont="1" applyFill="1" applyBorder="1" applyAlignment="1">
      <x:alignment horizontal="center" vertical="center" wrapText="1"/>
    </x:xf>
    <x:xf numFmtId="0" fontId="0" fillId="11" borderId="3" xfId="0" applyNumberFormat="1" applyFont="1" applyFill="1" applyBorder="1" applyAlignment="1">
      <x:alignment vertical="center" wrapText="1"/>
    </x:xf>
    <x:xf numFmtId="0" fontId="0" fillId="11" borderId="3" xfId="0" applyNumberFormat="1" applyFont="1" applyFill="1" applyBorder="1" applyAlignment="1">
      <x:alignment horizontal="center" vertical="center" wrapText="1"/>
    </x:xf>
    <x:xf numFmtId="201" fontId="0" fillId="11" borderId="3" xfId="0" applyNumberFormat="1" applyFont="1" applyFill="1" applyBorder="1" applyAlignment="1">
      <x:alignment horizontal="center" vertical="center" wrapText="1"/>
    </x:xf>
    <x:xf numFmtId="0" fontId="0" fillId="11" borderId="4" xfId="0" applyNumberFormat="1" applyFont="1" applyFill="1" applyBorder="1" applyAlignment="1">
      <x:alignment vertical="center" wrapText="1"/>
    </x:xf>
    <x:xf numFmtId="0" fontId="0" fillId="11" borderId="5" xfId="0" applyNumberFormat="1" applyFont="1" applyFill="1" applyBorder="1" applyAlignment="1">
      <x:alignment horizontal="center" vertical="center" wrapText="1"/>
    </x:xf>
    <x:xf numFmtId="0" fontId="4" fillId="11" borderId="6" xfId="0" applyNumberFormat="1" applyFont="1" applyFill="1" applyBorder="1" applyAlignment="1">
      <x:alignment horizontal="center" vertical="center" wrapText="1"/>
    </x:xf>
    <x:xf numFmtId="206" fontId="0" fillId="11" borderId="6" xfId="0" applyNumberFormat="1" applyFont="1" applyFill="1" applyBorder="1" applyAlignment="1">
      <x:alignment horizontal="center" vertical="center" wrapText="1"/>
    </x:xf>
    <x:xf numFmtId="0" fontId="0" fillId="11" borderId="6" xfId="0" applyNumberFormat="1" applyFont="1" applyFill="1" applyBorder="1" applyAlignment="1">
      <x:alignment vertical="center" wrapText="1"/>
    </x:xf>
    <x:xf numFmtId="0" fontId="0" fillId="11" borderId="6" xfId="0" applyNumberFormat="1" applyFont="1" applyFill="1" applyBorder="1" applyAlignment="1">
      <x:alignment horizontal="center" vertical="center" wrapText="1"/>
    </x:xf>
    <x:xf numFmtId="201" fontId="0" fillId="11" borderId="6" xfId="0" applyNumberFormat="1" applyFont="1" applyFill="1" applyBorder="1" applyAlignment="1">
      <x:alignment horizontal="center" vertical="center" wrapText="1"/>
    </x:xf>
    <x:xf numFmtId="0" fontId="0" fillId="11" borderId="7" xfId="0" applyNumberFormat="1" applyFont="1" applyFill="1" applyBorder="1" applyAlignment="1">
      <x:alignment vertical="center" wrapText="1"/>
    </x:xf>
    <x:xf numFmtId="0" fontId="5" fillId="11" borderId="6" xfId="0" applyNumberFormat="1" applyFont="1" applyFill="1" applyBorder="1" applyAlignment="1">
      <x:alignment horizontal="center" vertical="center" wrapText="1"/>
    </x:xf>
    <x:xf numFmtId="0" fontId="6" fillId="11" borderId="6" xfId="0" applyNumberFormat="1" applyFont="1" applyFill="1" applyBorder="1" applyAlignment="1">
      <x:alignment horizontal="center" vertical="center" wrapText="1"/>
    </x:xf>
    <x:xf numFmtId="0" fontId="7" fillId="11" borderId="6" xfId="0" applyNumberFormat="1" applyFont="1" applyFill="1" applyBorder="1" applyAlignment="1">
      <x:alignment horizontal="center" vertical="center" wrapText="1"/>
    </x:xf>
    <x:xf numFmtId="0" fontId="0" fillId="11" borderId="8" xfId="0" applyNumberFormat="1" applyFont="1" applyFill="1" applyBorder="1" applyAlignment="1">
      <x:alignment horizontal="center" vertical="center" wrapText="1"/>
    </x:xf>
    <x:xf numFmtId="0" fontId="7" fillId="11" borderId="9" xfId="0" applyNumberFormat="1" applyFont="1" applyFill="1" applyBorder="1" applyAlignment="1">
      <x:alignment horizontal="center" vertical="center" wrapText="1"/>
    </x:xf>
    <x:xf numFmtId="206" fontId="0" fillId="11" borderId="9" xfId="0" applyNumberFormat="1" applyFont="1" applyFill="1" applyBorder="1" applyAlignment="1">
      <x:alignment horizontal="center" vertical="center" wrapText="1"/>
    </x:xf>
    <x:xf numFmtId="0" fontId="0" fillId="11" borderId="9" xfId="0" applyNumberFormat="1" applyFont="1" applyFill="1" applyBorder="1" applyAlignment="1">
      <x:alignment vertical="center" wrapText="1"/>
    </x:xf>
    <x:xf numFmtId="0" fontId="0" fillId="11" borderId="9" xfId="0" applyNumberFormat="1" applyFont="1" applyFill="1" applyBorder="1" applyAlignment="1">
      <x:alignment horizontal="center" vertical="center" wrapText="1"/>
    </x:xf>
    <x:xf numFmtId="201" fontId="0" fillId="11" borderId="9" xfId="0" applyNumberFormat="1" applyFont="1" applyFill="1" applyBorder="1" applyAlignment="1">
      <x:alignment horizontal="center" vertical="center" wrapText="1"/>
    </x:xf>
    <x:xf numFmtId="0" fontId="0" fillId="11" borderId="10" xfId="0" applyNumberFormat="1" applyFont="1" applyFill="1" applyBorder="1" applyAlignment="1">
      <x:alignment vertical="center" wrapText="1"/>
    </x:xf>
    <x:xf numFmtId="0" fontId="16" fillId="11" borderId="0" xfId="0" applyNumberFormat="1" applyFont="1" applyFill="1" applyBorder="1" applyAlignment="1">
      <x:alignment horizontal="left" vertical="center"/>
    </x:xf>
    <x:xf numFmtId="0" fontId="17" fillId="11" borderId="0" xfId="0" applyNumberFormat="1" applyFont="1" applyFill="1" applyBorder="1" applyAlignment="1">
      <x:alignment wrapText="1"/>
    </x:xf>
    <x:xf numFmtId="0" fontId="18" fillId="11" borderId="0" xfId="0" applyNumberFormat="1" applyFont="1" applyFill="1" applyBorder="1"/>
    <x:xf numFmtId="0" fontId="18" fillId="11" borderId="1" xfId="0" applyNumberFormat="1" applyFont="1" applyFill="1" applyBorder="1" applyAlignment="1">
      <x:alignment horizontal="center" vertical="center" wrapText="1"/>
    </x:xf>
    <x:xf numFmtId="0" fontId="18" fillId="11" borderId="2" xfId="0" applyNumberFormat="1" applyFont="1" applyFill="1" applyBorder="1" applyAlignment="1">
      <x:alignment horizontal="center" vertical="center" wrapText="1"/>
    </x:xf>
    <x:xf numFmtId="0" fontId="18" fillId="11" borderId="3" xfId="0" applyNumberFormat="1" applyFont="1" applyFill="1" applyBorder="1" applyAlignment="1">
      <x:alignment horizontal="center" vertical="center" wrapText="1"/>
    </x:xf>
    <x:xf numFmtId="206" fontId="18" fillId="11" borderId="3" xfId="0" applyNumberFormat="1" applyFont="1" applyFill="1" applyBorder="1" applyAlignment="1">
      <x:alignment horizontal="center" vertical="center" wrapText="1"/>
    </x:xf>
    <x:xf numFmtId="0" fontId="18" fillId="11" borderId="3" xfId="0" applyNumberFormat="1" applyFont="1" applyFill="1" applyBorder="1" applyAlignment="1">
      <x:alignment vertical="center" wrapText="1"/>
    </x:xf>
    <x:xf numFmtId="201" fontId="18" fillId="11" borderId="3" xfId="0" applyNumberFormat="1" applyFont="1" applyFill="1" applyBorder="1" applyAlignment="1">
      <x:alignment horizontal="center" vertical="center" wrapText="1"/>
    </x:xf>
    <x:xf numFmtId="0" fontId="18" fillId="11" borderId="4" xfId="0" applyNumberFormat="1" applyFont="1" applyFill="1" applyBorder="1" applyAlignment="1">
      <x:alignment vertical="center" wrapText="1"/>
    </x:xf>
    <x:xf numFmtId="0" fontId="18" fillId="11" borderId="5" xfId="0" applyNumberFormat="1" applyFont="1" applyFill="1" applyBorder="1" applyAlignment="1">
      <x:alignment horizontal="center" vertical="center" wrapText="1"/>
    </x:xf>
    <x:xf numFmtId="0" fontId="18" fillId="11" borderId="6" xfId="0" applyNumberFormat="1" applyFont="1" applyFill="1" applyBorder="1" applyAlignment="1">
      <x:alignment horizontal="center" vertical="center" wrapText="1"/>
    </x:xf>
    <x:xf numFmtId="206" fontId="18" fillId="11" borderId="6" xfId="0" applyNumberFormat="1" applyFont="1" applyFill="1" applyBorder="1" applyAlignment="1">
      <x:alignment horizontal="center" vertical="center" wrapText="1"/>
    </x:xf>
    <x:xf numFmtId="0" fontId="18" fillId="11" borderId="6" xfId="0" applyNumberFormat="1" applyFont="1" applyFill="1" applyBorder="1" applyAlignment="1">
      <x:alignment vertical="center" wrapText="1"/>
    </x:xf>
    <x:xf numFmtId="201" fontId="18" fillId="11" borderId="6" xfId="0" applyNumberFormat="1" applyFont="1" applyFill="1" applyBorder="1" applyAlignment="1">
      <x:alignment horizontal="center" vertical="center" wrapText="1"/>
    </x:xf>
    <x:xf numFmtId="0" fontId="18" fillId="11" borderId="7" xfId="0" applyNumberFormat="1" applyFont="1" applyFill="1" applyBorder="1" applyAlignment="1">
      <x:alignment vertical="center" wrapText="1"/>
    </x:xf>
    <x:xf numFmtId="0" fontId="18" fillId="11" borderId="8" xfId="0" applyNumberFormat="1" applyFont="1" applyFill="1" applyBorder="1" applyAlignment="1">
      <x:alignment horizontal="center" vertical="center" wrapText="1"/>
    </x:xf>
    <x:xf numFmtId="0" fontId="18" fillId="11" borderId="9" xfId="0" applyNumberFormat="1" applyFont="1" applyFill="1" applyBorder="1" applyAlignment="1">
      <x:alignment horizontal="center" vertical="center" wrapText="1"/>
    </x:xf>
    <x:xf numFmtId="206" fontId="18" fillId="11" borderId="9" xfId="0" applyNumberFormat="1" applyFont="1" applyFill="1" applyBorder="1" applyAlignment="1">
      <x:alignment horizontal="center" vertical="center" wrapText="1"/>
    </x:xf>
    <x:xf numFmtId="0" fontId="18" fillId="11" borderId="9" xfId="0" applyNumberFormat="1" applyFont="1" applyFill="1" applyBorder="1" applyAlignment="1">
      <x:alignment vertical="center" wrapText="1"/>
    </x:xf>
    <x:xf numFmtId="201" fontId="18" fillId="11" borderId="9" xfId="0" applyNumberFormat="1" applyFont="1" applyFill="1" applyBorder="1" applyAlignment="1">
      <x:alignment horizontal="center" vertical="center" wrapText="1"/>
    </x:xf>
    <x:xf numFmtId="0" fontId="18" fillId="11" borderId="10" xfId="0" applyNumberFormat="1" applyFont="1" applyFill="1" applyBorder="1" applyAlignment="1">
      <x:alignment vertical="center" wrapText="1"/>
    </x:xf>
    <x:xf numFmtId="0" fontId="16" fillId="11" borderId="14" xfId="0" applyNumberFormat="1" applyFont="1" applyFill="1" applyBorder="1" applyAlignment="1">
      <x:alignment horizontal="left" vertical="center"/>
    </x:xf>
    <x:xf numFmtId="0" fontId="16" fillId="11" borderId="15" xfId="0" applyNumberFormat="1" applyFont="1" applyFill="1" applyBorder="1" applyAlignment="1">
      <x:alignment horizontal="left" vertical="center"/>
    </x:xf>
    <x:xf numFmtId="0" fontId="16" fillId="11" borderId="16" xfId="0" applyNumberFormat="1" applyFont="1" applyFill="1" applyBorder="1" applyAlignment="1">
      <x:alignment horizontal="left" vertical="center"/>
    </x:xf>
    <x:xf numFmtId="0" fontId="17" fillId="11" borderId="17" xfId="0" applyNumberFormat="1" applyFont="1" applyFill="1" applyBorder="1" applyAlignment="1">
      <x:alignment wrapText="1"/>
    </x:xf>
    <x:xf numFmtId="0" fontId="17" fillId="11" xfId="0" applyNumberFormat="1" applyFont="1" applyFill="1" applyBorder="0" applyAlignment="1">
      <x:alignment wrapText="1"/>
    </x:xf>
    <x:xf numFmtId="0" fontId="17" fillId="11" borderId="18" xfId="0" applyNumberFormat="1" applyFont="1" applyFill="1" applyBorder="1" applyAlignment="1">
      <x:alignment wrapText="1"/>
    </x:xf>
    <x:xf numFmtId="0" fontId="18" fillId="11" borderId="17" xfId="0" applyNumberFormat="1" applyFont="1" applyFill="1" applyBorder="1"/>
    <x:xf numFmtId="0" fontId="18" fillId="11" xfId="0" applyNumberFormat="1" applyFont="1" applyFill="1" applyBorder="0"/>
    <x:xf numFmtId="0" fontId="18" fillId="11" borderId="18" xfId="0" applyNumberFormat="1" applyFont="1" applyFill="1" applyBorder="1"/>
    <x:xf numFmtId="0" fontId="18" fillId="11" borderId="19" xfId="0" applyNumberFormat="1" applyFont="1" applyFill="1" applyBorder="1" applyAlignment="1">
      <x:alignment horizontal="center" vertical="center" wrapText="1"/>
    </x:xf>
    <x:xf numFmtId="0" fontId="18" fillId="11" borderId="20" xfId="0" applyNumberFormat="1" applyFont="1" applyFill="1" applyBorder="1" applyAlignment="1">
      <x:alignment horizontal="center" vertical="center" wrapText="1"/>
    </x:xf>
    <x:xf numFmtId="0" fontId="18" fillId="11" borderId="21" xfId="0" applyNumberFormat="1" applyFont="1" applyFill="1" applyBorder="1" applyAlignment="1">
      <x:alignment horizontal="center" vertical="center" wrapText="1"/>
    </x:xf>
    <x:xf numFmtId="0" fontId="18" fillId="11" borderId="22" xfId="0" applyNumberFormat="1" applyFont="1" applyFill="1" applyBorder="1" applyAlignment="1">
      <x:alignment horizontal="center" vertical="center" wrapText="1"/>
    </x:xf>
    <x:xf numFmtId="0" fontId="18" fillId="11" borderId="23" xfId="0" applyNumberFormat="1" applyFont="1" applyFill="1" applyBorder="1" applyAlignment="1">
      <x:alignment horizontal="center" vertical="center" wrapText="1"/>
    </x:xf>
    <x:xf numFmtId="206" fontId="18" fillId="11" borderId="23" xfId="0" applyNumberFormat="1" applyFont="1" applyFill="1" applyBorder="1" applyAlignment="1">
      <x:alignment horizontal="center" vertical="center" wrapText="1"/>
    </x:xf>
    <x:xf numFmtId="0" fontId="18" fillId="11" borderId="23" xfId="0" applyNumberFormat="1" applyFont="1" applyFill="1" applyBorder="1" applyAlignment="1">
      <x:alignment vertical="center" wrapText="1"/>
    </x:xf>
    <x:xf numFmtId="201" fontId="18" fillId="11" borderId="23" xfId="0" applyNumberFormat="1" applyFont="1" applyFill="1" applyBorder="1" applyAlignment="1">
      <x:alignment horizontal="center" vertical="center" wrapText="1"/>
    </x:xf>
    <x:xf numFmtId="0" fontId="18" fillId="11" borderId="24" xfId="0" applyNumberFormat="1" applyFont="1" applyFill="1" applyBorder="1" applyAlignment="1">
      <x:alignment vertical="center" wrapText="1"/>
    </x:xf>
    <x:xf numFmtId="0" fontId="18" fillId="11" borderId="25" xfId="0" applyNumberFormat="1" applyFont="1" applyFill="1" applyBorder="1" applyAlignment="1">
      <x:alignment horizontal="center" vertical="center" wrapText="1"/>
    </x:xf>
    <x:xf numFmtId="0" fontId="18" fillId="11" borderId="26" xfId="0" applyNumberFormat="1" applyFont="1" applyFill="1" applyBorder="1" applyAlignment="1">
      <x:alignment horizontal="center" vertical="center" wrapText="1"/>
    </x:xf>
    <x:xf numFmtId="206" fontId="18" fillId="11" borderId="26" xfId="0" applyNumberFormat="1" applyFont="1" applyFill="1" applyBorder="1" applyAlignment="1">
      <x:alignment horizontal="center" vertical="center" wrapText="1"/>
    </x:xf>
    <x:xf numFmtId="0" fontId="18" fillId="11" borderId="26" xfId="0" applyNumberFormat="1" applyFont="1" applyFill="1" applyBorder="1" applyAlignment="1">
      <x:alignment vertical="center" wrapText="1"/>
    </x:xf>
    <x:xf numFmtId="201" fontId="18" fillId="11" borderId="26" xfId="0" applyNumberFormat="1" applyFont="1" applyFill="1" applyBorder="1" applyAlignment="1">
      <x:alignment horizontal="center" vertical="center" wrapText="1"/>
    </x:xf>
    <x:xf numFmtId="0" fontId="18" fillId="11" borderId="27" xfId="0" applyNumberFormat="1" applyFont="1" applyFill="1" applyBorder="1" applyAlignment="1">
      <x:alignment vertical="center" wrapText="1"/>
    </x:xf>
    <x:xf numFmtId="0" fontId="18" fillId="11" borderId="28" xfId="0" applyNumberFormat="1" applyFont="1" applyFill="1" applyBorder="1" applyAlignment="1">
      <x:alignment horizontal="center" vertical="center" wrapText="1"/>
    </x:xf>
    <x:xf numFmtId="0" fontId="18" fillId="11" borderId="29" xfId="0" applyNumberFormat="1" applyFont="1" applyFill="1" applyBorder="1" applyAlignment="1">
      <x:alignment horizontal="center" vertical="center" wrapText="1"/>
    </x:xf>
    <x:xf numFmtId="206" fontId="18" fillId="11" borderId="29" xfId="0" applyNumberFormat="1" applyFont="1" applyFill="1" applyBorder="1" applyAlignment="1">
      <x:alignment horizontal="center" vertical="center" wrapText="1"/>
    </x:xf>
    <x:xf numFmtId="0" fontId="18" fillId="11" borderId="29" xfId="0" applyNumberFormat="1" applyFont="1" applyFill="1" applyBorder="1" applyAlignment="1">
      <x:alignment vertical="center" wrapText="1"/>
    </x:xf>
    <x:xf numFmtId="201" fontId="18" fillId="11" borderId="29" xfId="0" applyNumberFormat="1" applyFont="1" applyFill="1" applyBorder="1" applyAlignment="1">
      <x:alignment horizontal="center" vertical="center" wrapText="1"/>
    </x:xf>
    <x:xf numFmtId="0" fontId="18" fillId="11" borderId="30" xfId="0" applyNumberFormat="1" applyFont="1" applyFill="1" applyBorder="1" applyAlignment="1">
      <x:alignment vertical="center" wrapText="1"/>
    </x:xf>
    <x:xf numFmtId="0" fontId="17" fillId="11" borderId="17" xfId="0" applyNumberFormat="1" applyFont="1" applyFill="1" applyBorder="1" applyAlignment="1">
      <x:alignment vertical="center" wrapText="1"/>
    </x:xf>
    <x:xf numFmtId="0" fontId="17" fillId="11" xfId="0" applyNumberFormat="1" applyFont="1" applyFill="1" applyBorder="0" applyAlignment="1">
      <x:alignment vertical="center" wrapText="1"/>
    </x:xf>
    <x:xf numFmtId="0" fontId="17" fillId="11" borderId="18" xfId="0" applyNumberFormat="1" applyFont="1" applyFill="1" applyBorder="1" applyAlignment="1">
      <x:alignment vertical="center" wrapText="1"/>
    </x:xf>
    <x:xf numFmtId="0" fontId="18" fillId="11" borderId="17" xfId="0" applyNumberFormat="1" applyFont="1" applyFill="1" applyBorder="1" applyAlignment="1">
      <x:alignment vertical="center"/>
    </x:xf>
    <x:xf numFmtId="0" fontId="18" fillId="11" xfId="0" applyNumberFormat="1" applyFont="1" applyFill="1" applyBorder="0" applyAlignment="1">
      <x:alignment vertical="center"/>
    </x:xf>
    <x:xf numFmtId="0" fontId="18" fillId="11" borderId="18" xfId="0" applyNumberFormat="1" applyFont="1" applyFill="1" applyBorder="1" applyAlignment="1">
      <x:alignment vertical="center"/>
    </x:xf>
    <x:xf numFmtId="0" fontId="19" fillId="11" borderId="14" xfId="0" applyNumberFormat="1" applyFont="1" applyFill="1" applyBorder="1" applyAlignment="1">
      <x:alignment horizontal="left" vertical="center"/>
    </x:xf>
    <x:xf numFmtId="0" fontId="19" fillId="11" borderId="15" xfId="0" applyNumberFormat="1" applyFont="1" applyFill="1" applyBorder="1" applyAlignment="1">
      <x:alignment horizontal="left" vertical="center"/>
    </x:xf>
    <x:xf numFmtId="0" fontId="19" fillId="11" borderId="16" xfId="0" applyNumberFormat="1" applyFont="1" applyFill="1" applyBorder="1" applyAlignment="1">
      <x:alignment horizontal="left" vertical="center"/>
    </x:xf>
    <x:xf numFmtId="0" fontId="19" fillId="11" borderId="31" xfId="0" applyNumberFormat="1" applyFont="1" applyFill="1" applyBorder="1" applyAlignment="1">
      <x:alignment horizontal="left" vertical="center"/>
    </x:xf>
    <x:xf numFmtId="0" fontId="19" fillId="11" borderId="32" xfId="0" applyNumberFormat="1" applyFont="1" applyFill="1" applyBorder="1" applyAlignment="1">
      <x:alignment horizontal="left" vertical="center"/>
    </x:xf>
    <x:xf numFmtId="0" fontId="19" fillId="11" borderId="33" xfId="0" applyNumberFormat="1" applyFont="1" applyFill="1" applyBorder="1" applyAlignment="1">
      <x:alignment horizontal="left" vertical="center"/>
    </x:xf>
    <x:xf numFmtId="0" fontId="20" fillId="11" borderId="17" xfId="0" applyNumberFormat="1" applyFont="1" applyFill="1" applyBorder="1" applyAlignment="1">
      <x:alignment vertical="center" wrapText="1"/>
    </x:xf>
    <x:xf numFmtId="0" fontId="20" fillId="11" xfId="0" applyNumberFormat="1" applyFont="1" applyFill="1" applyBorder="0" applyAlignment="1">
      <x:alignment vertical="center" wrapText="1"/>
    </x:xf>
    <x:xf numFmtId="0" fontId="20" fillId="11" borderId="18" xfId="0" applyNumberFormat="1" applyFont="1" applyFill="1" applyBorder="1" applyAlignment="1">
      <x:alignment vertical="center" wrapText="1"/>
    </x:xf>
    <x:xf numFmtId="0" fontId="20" fillId="11" borderId="31" xfId="0" applyNumberFormat="1" applyFont="1" applyFill="1" applyBorder="1" applyAlignment="1">
      <x:alignment vertical="center" wrapText="1"/>
    </x:xf>
    <x:xf numFmtId="0" fontId="20" fillId="11" borderId="32" xfId="0" applyNumberFormat="1" applyFont="1" applyFill="1" applyBorder="1" applyAlignment="1">
      <x:alignment vertical="center" wrapText="1"/>
    </x:xf>
    <x:xf numFmtId="0" fontId="20" fillId="11" borderId="33" xfId="0" applyNumberFormat="1" applyFont="1" applyFill="1" applyBorder="1" applyAlignment="1">
      <x:alignment vertical="center" wrapText="1"/>
    </x:xf>
    <x:xf numFmtId="0" fontId="18" fillId="11" borderId="34" xfId="0" applyNumberFormat="1" applyFont="1" applyFill="1" applyBorder="1" applyAlignment="1">
      <x:alignment horizontal="center" vertical="center" wrapText="1"/>
    </x:xf>
    <x:xf numFmtId="206" fontId="18" fillId="11" borderId="34" xfId="0" applyNumberFormat="1" applyFont="1" applyFill="1" applyBorder="1" applyAlignment="1">
      <x:alignment horizontal="center" vertical="center" wrapText="1"/>
    </x:xf>
    <x:xf numFmtId="0" fontId="18" fillId="11" borderId="34" xfId="0" applyNumberFormat="1" applyFont="1" applyFill="1" applyBorder="1" applyAlignment="1">
      <x:alignment vertical="center" wrapText="1"/>
    </x:xf>
    <x:xf numFmtId="201" fontId="18" fillId="11" borderId="34" xfId="0" applyNumberFormat="1" applyFont="1" applyFill="1" applyBorder="1" applyAlignment="1">
      <x:alignment horizontal="center" vertical="center" wrapText="1"/>
    </x:xf>
    <x:xf numFmtId="0" fontId="18" fillId="12" borderId="34" xfId="0" applyNumberFormat="1" applyFont="1" applyFill="1" applyBorder="1" applyAlignment="1">
      <x:alignment horizontal="center" vertical="center" wrapText="1"/>
    </x:xf>
    <x:xf numFmtId="0" fontId="21" fillId="12" borderId="34" xfId="0" applyNumberFormat="1" applyFont="1" applyFill="1" applyBorder="1" applyAlignment="1">
      <x:alignment horizontal="center" vertical="center" wrapText="1"/>
    </x:xf>
    <x:xf numFmtId="0" fontId="18" fillId="11" borderId="34" xfId="0" applyNumberFormat="1" applyFont="1" applyFill="1" applyBorder="1" applyAlignment="1">
      <x:alignment horizontal="left" vertical="center" wrapText="1"/>
    </x:xf>
    <x:xf numFmtId="206" fontId="18" fillId="11" borderId="34" xfId="0" applyNumberFormat="1" applyFont="1" applyFill="1" applyBorder="1" applyAlignment="1">
      <x:alignment horizontal="left" vertical="center" wrapText="1"/>
    </x:xf>
    <x:xf numFmtId="0" fontId="18" fillId="11" borderId="35" xfId="0" applyNumberFormat="1" applyFont="1" applyFill="1" applyBorder="1" applyAlignment="1">
      <x:alignment horizontal="left" vertical="center" wrapText="1"/>
    </x:xf>
    <x:xf numFmtId="206" fontId="18" fillId="11" borderId="35" xfId="0" applyNumberFormat="1" applyFont="1" applyFill="1" applyBorder="1" applyAlignment="1">
      <x:alignment horizontal="left" vertical="center" wrapText="1"/>
    </x:xf>
    <x:xf numFmtId="0" fontId="18" fillId="11" borderId="35" xfId="0" applyNumberFormat="1" applyFont="1" applyFill="1" applyBorder="1" applyAlignment="1">
      <x:alignment vertical="center" wrapText="1"/>
    </x:xf>
    <x:xf numFmtId="0" fontId="18" fillId="11" borderId="35" xfId="0" applyNumberFormat="1" applyFont="1" applyFill="1" applyBorder="1" applyAlignment="1">
      <x:alignment horizontal="center" vertical="center" wrapText="1"/>
    </x:xf>
    <x:xf numFmtId="201" fontId="18" fillId="11" borderId="35" xfId="0" applyNumberFormat="1" applyFont="1" applyFill="1" applyBorder="1" applyAlignment="1">
      <x:alignment horizontal="center" vertical="center" wrapText="1"/>
    </x:xf>
    <x:xf numFmtId="0" fontId="3" fillId="11" borderId="0" xfId="0" applyNumberFormat="1" applyFont="1" applyFill="1" applyBorder="1" applyAlignment="1">
      <x:alignment horizontal="center"/>
    </x:xf>
    <x:xf numFmtId="202" fontId="8" fillId="11" borderId="7" xfId="0" applyNumberFormat="1" applyFont="1" applyFill="1" applyBorder="1" applyAlignment="1">
      <x:alignment horizontal="center"/>
    </x:xf>
    <x:xf numFmtId="202" fontId="8" fillId="11" borderId="11" xfId="0" applyNumberFormat="1" applyFont="1" applyFill="1" applyBorder="1" applyAlignment="1">
      <x:alignment horizontal="center"/>
    </x:xf>
    <x:xf numFmtId="202" fontId="8" fillId="11" borderId="5" xfId="0" applyNumberFormat="1" applyFont="1" applyFill="1" applyBorder="1" applyAlignment="1">
      <x:alignment horizontal="center"/>
    </x:xf>
    <x:xf numFmtId="0" fontId="8" fillId="11" borderId="7" xfId="0" applyNumberFormat="1" applyFont="1" applyFill="1" applyBorder="1" applyAlignment="1">
      <x:alignment horizontal="center"/>
    </x:xf>
    <x:xf numFmtId="0" fontId="8" fillId="11" borderId="11" xfId="0" applyNumberFormat="1" applyFont="1" applyFill="1" applyBorder="1" applyAlignment="1">
      <x:alignment horizontal="center"/>
    </x:xf>
    <x:xf numFmtId="0" fontId="8" fillId="11" borderId="5" xfId="0" applyNumberFormat="1" applyFont="1" applyFill="1" applyBorder="1" applyAlignment="1">
      <x:alignment horizontal="center"/>
    </x:xf>
    <x:xf numFmtId="203" fontId="8" fillId="11" borderId="7" xfId="0" applyNumberFormat="1" applyFont="1" applyFill="1" applyBorder="1" applyAlignment="1">
      <x:alignment horizontal="center"/>
    </x:xf>
    <x:xf numFmtId="203" fontId="8" fillId="11" borderId="11" xfId="0" applyNumberFormat="1" applyFont="1" applyFill="1" applyBorder="1" applyAlignment="1">
      <x:alignment horizontal="center"/>
    </x:xf>
    <x:xf numFmtId="203" fontId="8" fillId="11" borderId="5" xfId="0" applyNumberFormat="1" applyFont="1" applyFill="1" applyBorder="1" applyAlignment="1">
      <x:alignment horizontal="center"/>
    </x:xf>
    <x:xf numFmtId="0" fontId="3" fillId="11" borderId="6" xfId="0" applyNumberFormat="1" applyFont="1" applyFill="1" applyBorder="1" applyAlignment="1">
      <x:alignment horizontal="center" vertical="center" wrapText="1"/>
    </x:xf>
    <x:xf numFmtId="0" fontId="0" fillId="11" borderId="6" xfId="0" applyNumberFormat="1" applyFont="1" applyFill="1" applyBorder="1" applyAlignment="1">
      <x:alignment vertical="center"/>
    </x:xf>
    <x:xf numFmtId="201" fontId="0" fillId="11" borderId="6" xfId="0" applyNumberFormat="1" applyFont="1" applyFill="1" applyBorder="1" applyAlignment="1">
      <x:alignment horizontal="right" vertical="center"/>
    </x:xf>
    <x:xf numFmtId="0" fontId="0" fillId="11" borderId="6" xfId="0" applyNumberFormat="1" applyFont="1" applyFill="1" applyBorder="1" applyAlignment="1">
      <x:alignment horizontal="center" vertical="center"/>
    </x:xf>
    <x:xf numFmtId="0" fontId="9" fillId="11" borderId="6" xfId="0" applyNumberFormat="1" applyFont="1" applyFill="1" applyBorder="1" applyAlignment="1">
      <x:alignment vertical="center"/>
    </x:xf>
    <x:xf numFmtId="201" fontId="9" fillId="11" borderId="6" xfId="0" applyNumberFormat="1" applyFont="1" applyFill="1" applyBorder="1" applyAlignment="1">
      <x:alignment horizontal="right" vertical="center"/>
    </x:xf>
    <x:xf numFmtId="0" fontId="9" fillId="11" borderId="6" xfId="0" applyNumberFormat="1" applyFont="1" applyFill="1" applyBorder="1" applyAlignment="1">
      <x:alignment horizontal="center" vertical="center"/>
    </x:xf>
    <x:xf numFmtId="0" fontId="10" fillId="11" borderId="6" xfId="0" applyNumberFormat="1" applyFont="1" applyFill="1" applyBorder="1" applyAlignment="1">
      <x:alignment vertical="center"/>
    </x:xf>
    <x:xf numFmtId="0" fontId="10" fillId="11" borderId="6" xfId="0" applyNumberFormat="1" applyFont="1" applyFill="1" applyBorder="1" applyAlignment="1">
      <x:alignment horizontal="center" vertical="center"/>
    </x:xf>
    <x:xf numFmtId="0" fontId="18" fillId="11" borderId="0" xfId="0" applyNumberFormat="1" applyFont="1" applyFill="1" applyBorder="1" applyAlignment="1">
      <x:alignment horizontal="center"/>
    </x:xf>
    <x:xf numFmtId="202" fontId="22" fillId="11" borderId="7" xfId="0" applyNumberFormat="1" applyFont="1" applyFill="1" applyBorder="1" applyAlignment="1">
      <x:alignment horizontal="center"/>
    </x:xf>
    <x:xf numFmtId="202" fontId="22" fillId="11" borderId="11" xfId="0" applyNumberFormat="1" applyFont="1" applyFill="1" applyBorder="1" applyAlignment="1">
      <x:alignment horizontal="center"/>
    </x:xf>
    <x:xf numFmtId="202" fontId="22" fillId="11" borderId="5" xfId="0" applyNumberFormat="1" applyFont="1" applyFill="1" applyBorder="1" applyAlignment="1">
      <x:alignment horizontal="center"/>
    </x:xf>
    <x:xf numFmtId="0" fontId="22" fillId="11" borderId="7" xfId="0" applyNumberFormat="1" applyFont="1" applyFill="1" applyBorder="1" applyAlignment="1">
      <x:alignment horizontal="center"/>
    </x:xf>
    <x:xf numFmtId="0" fontId="22" fillId="11" borderId="11" xfId="0" applyNumberFormat="1" applyFont="1" applyFill="1" applyBorder="1" applyAlignment="1">
      <x:alignment horizontal="center"/>
    </x:xf>
    <x:xf numFmtId="0" fontId="22" fillId="11" borderId="5" xfId="0" applyNumberFormat="1" applyFont="1" applyFill="1" applyBorder="1" applyAlignment="1">
      <x:alignment horizontal="center"/>
    </x:xf>
    <x:xf numFmtId="203" fontId="22" fillId="11" borderId="7" xfId="0" applyNumberFormat="1" applyFont="1" applyFill="1" applyBorder="1" applyAlignment="1">
      <x:alignment horizontal="center"/>
    </x:xf>
    <x:xf numFmtId="203" fontId="22" fillId="11" borderId="11" xfId="0" applyNumberFormat="1" applyFont="1" applyFill="1" applyBorder="1" applyAlignment="1">
      <x:alignment horizontal="center"/>
    </x:xf>
    <x:xf numFmtId="203" fontId="22" fillId="11" borderId="5" xfId="0" applyNumberFormat="1" applyFont="1" applyFill="1" applyBorder="1" applyAlignment="1">
      <x:alignment horizontal="center"/>
    </x:xf>
    <x:xf numFmtId="0" fontId="18" fillId="11" borderId="6" xfId="0" applyNumberFormat="1" applyFont="1" applyFill="1" applyBorder="1" applyAlignment="1">
      <x:alignment vertical="center"/>
    </x:xf>
    <x:xf numFmtId="201" fontId="18" fillId="11" borderId="6" xfId="0" applyNumberFormat="1" applyFont="1" applyFill="1" applyBorder="1" applyAlignment="1">
      <x:alignment horizontal="right" vertical="center"/>
    </x:xf>
    <x:xf numFmtId="0" fontId="18" fillId="11" borderId="6" xfId="0" applyNumberFormat="1" applyFont="1" applyFill="1" applyBorder="1" applyAlignment="1">
      <x:alignment horizontal="center" vertical="center"/>
    </x:xf>
    <x:xf numFmtId="0" fontId="18" fillId="11" borderId="17" xfId="0" applyNumberFormat="1" applyFont="1" applyFill="1" applyBorder="1" applyAlignment="1">
      <x:alignment horizontal="center"/>
    </x:xf>
    <x:xf numFmtId="0" fontId="18" fillId="11" xfId="0" applyNumberFormat="1" applyFont="1" applyFill="1" applyBorder="0" applyAlignment="1">
      <x:alignment horizontal="center"/>
    </x:xf>
    <x:xf numFmtId="202" fontId="22" fillId="11" borderId="36" xfId="0" applyNumberFormat="1" applyFont="1" applyFill="1" applyBorder="1" applyAlignment="1">
      <x:alignment horizontal="center"/>
    </x:xf>
    <x:xf numFmtId="202" fontId="22" fillId="11" borderId="37" xfId="0" applyNumberFormat="1" applyFont="1" applyFill="1" applyBorder="1" applyAlignment="1">
      <x:alignment horizontal="center"/>
    </x:xf>
    <x:xf numFmtId="202" fontId="22" fillId="11" borderId="38" xfId="0" applyNumberFormat="1" applyFont="1" applyFill="1" applyBorder="1" applyAlignment="1">
      <x:alignment horizontal="center"/>
    </x:xf>
    <x:xf numFmtId="0" fontId="22" fillId="11" borderId="39" xfId="0" applyNumberFormat="1" applyFont="1" applyFill="1" applyBorder="1" applyAlignment="1">
      <x:alignment horizontal="center"/>
    </x:xf>
    <x:xf numFmtId="0" fontId="22" fillId="11" borderId="37" xfId="0" applyNumberFormat="1" applyFont="1" applyFill="1" applyBorder="1" applyAlignment="1">
      <x:alignment horizontal="center"/>
    </x:xf>
    <x:xf numFmtId="0" fontId="22" fillId="11" borderId="38" xfId="0" applyNumberFormat="1" applyFont="1" applyFill="1" applyBorder="1" applyAlignment="1">
      <x:alignment horizontal="center"/>
    </x:xf>
    <x:xf numFmtId="203" fontId="22" fillId="11" borderId="39" xfId="0" applyNumberFormat="1" applyFont="1" applyFill="1" applyBorder="1" applyAlignment="1">
      <x:alignment horizontal="center"/>
    </x:xf>
    <x:xf numFmtId="203" fontId="22" fillId="11" borderId="37" xfId="0" applyNumberFormat="1" applyFont="1" applyFill="1" applyBorder="1" applyAlignment="1">
      <x:alignment horizontal="center"/>
    </x:xf>
    <x:xf numFmtId="203" fontId="22" fillId="11" borderId="38" xfId="0" applyNumberFormat="1" applyFont="1" applyFill="1" applyBorder="1" applyAlignment="1">
      <x:alignment horizontal="center"/>
    </x:xf>
    <x:xf numFmtId="0" fontId="18" fillId="11" borderId="27" xfId="0" applyNumberFormat="1" applyFont="1" applyFill="1" applyBorder="1" applyAlignment="1">
      <x:alignment horizontal="center" vertical="center" wrapText="1"/>
    </x:xf>
    <x:xf numFmtId="0" fontId="18" fillId="11" borderId="25" xfId="0" applyNumberFormat="1" applyFont="1" applyFill="1" applyBorder="1" applyAlignment="1">
      <x:alignment vertical="center"/>
    </x:xf>
    <x:xf numFmtId="0" fontId="18" fillId="11" borderId="26" xfId="0" applyNumberFormat="1" applyFont="1" applyFill="1" applyBorder="1" applyAlignment="1">
      <x:alignment vertical="center"/>
    </x:xf>
    <x:xf numFmtId="201" fontId="18" fillId="11" borderId="26" xfId="0" applyNumberFormat="1" applyFont="1" applyFill="1" applyBorder="1" applyAlignment="1">
      <x:alignment horizontal="right" vertical="center"/>
    </x:xf>
    <x:xf numFmtId="0" fontId="18" fillId="11" borderId="26" xfId="0" applyNumberFormat="1" applyFont="1" applyFill="1" applyBorder="1" applyAlignment="1">
      <x:alignment horizontal="center" vertical="center"/>
    </x:xf>
    <x:xf numFmtId="0" fontId="18" fillId="11" borderId="27" xfId="0" applyNumberFormat="1" applyFont="1" applyFill="1" applyBorder="1" applyAlignment="1">
      <x:alignment horizontal="center" vertical="center"/>
    </x:xf>
    <x:xf numFmtId="0" fontId="18" fillId="11" borderId="40" xfId="0" applyNumberFormat="1" applyFont="1" applyFill="1" applyBorder="1"/>
    <x:xf numFmtId="0" fontId="18" fillId="11" borderId="41" xfId="0" applyNumberFormat="1" applyFont="1" applyFill="1" applyBorder="1"/>
    <x:xf numFmtId="0" fontId="18" fillId="11" borderId="29" xfId="0" applyNumberFormat="1" applyFont="1" applyFill="1" applyBorder="1" applyAlignment="1">
      <x:alignment vertical="center"/>
    </x:xf>
    <x:xf numFmtId="0" fontId="18" fillId="11" borderId="29" xfId="0" applyNumberFormat="1" applyFont="1" applyFill="1" applyBorder="1" applyAlignment="1">
      <x:alignment horizontal="center" vertical="center"/>
    </x:xf>
    <x:xf numFmtId="0" fontId="18" fillId="11" borderId="42" xfId="0" applyNumberFormat="1" applyFont="1" applyFill="1" applyBorder="1"/>
    <x:xf numFmtId="0" fontId="18" fillId="11" borderId="17" xfId="0" applyNumberFormat="1" applyFont="1" applyFill="1" applyBorder="1" applyAlignment="1">
      <x:alignment horizontal="center" vertical="center"/>
    </x:xf>
    <x:xf numFmtId="0" fontId="18" fillId="11" xfId="0" applyNumberFormat="1" applyFont="1" applyFill="1" applyBorder="0" applyAlignment="1">
      <x:alignment horizontal="center" vertical="center"/>
    </x:xf>
    <x:xf numFmtId="202" fontId="22" fillId="11" borderId="36" xfId="0" applyNumberFormat="1" applyFont="1" applyFill="1" applyBorder="1" applyAlignment="1">
      <x:alignment horizontal="center" vertical="center"/>
    </x:xf>
    <x:xf numFmtId="202" fontId="22" fillId="11" borderId="37" xfId="0" applyNumberFormat="1" applyFont="1" applyFill="1" applyBorder="1" applyAlignment="1">
      <x:alignment horizontal="center" vertical="center"/>
    </x:xf>
    <x:xf numFmtId="202" fontId="22" fillId="11" borderId="38" xfId="0" applyNumberFormat="1" applyFont="1" applyFill="1" applyBorder="1" applyAlignment="1">
      <x:alignment horizontal="center" vertical="center"/>
    </x:xf>
    <x:xf numFmtId="0" fontId="22" fillId="11" borderId="39" xfId="0" applyNumberFormat="1" applyFont="1" applyFill="1" applyBorder="1" applyAlignment="1">
      <x:alignment horizontal="center" vertical="center"/>
    </x:xf>
    <x:xf numFmtId="0" fontId="22" fillId="11" borderId="37" xfId="0" applyNumberFormat="1" applyFont="1" applyFill="1" applyBorder="1" applyAlignment="1">
      <x:alignment horizontal="center" vertical="center"/>
    </x:xf>
    <x:xf numFmtId="0" fontId="22" fillId="11" borderId="38" xfId="0" applyNumberFormat="1" applyFont="1" applyFill="1" applyBorder="1" applyAlignment="1">
      <x:alignment horizontal="center" vertical="center"/>
    </x:xf>
    <x:xf numFmtId="203" fontId="22" fillId="11" borderId="39" xfId="0" applyNumberFormat="1" applyFont="1" applyFill="1" applyBorder="1" applyAlignment="1">
      <x:alignment horizontal="center" vertical="center"/>
    </x:xf>
    <x:xf numFmtId="203" fontId="22" fillId="11" borderId="37" xfId="0" applyNumberFormat="1" applyFont="1" applyFill="1" applyBorder="1" applyAlignment="1">
      <x:alignment horizontal="center" vertical="center"/>
    </x:xf>
    <x:xf numFmtId="203" fontId="22" fillId="11" borderId="38" xfId="0" applyNumberFormat="1" applyFont="1" applyFill="1" applyBorder="1" applyAlignment="1">
      <x:alignment horizontal="center" vertical="center"/>
    </x:xf>
    <x:xf numFmtId="0" fontId="18" fillId="11" borderId="40" xfId="0" applyNumberFormat="1" applyFont="1" applyFill="1" applyBorder="1" applyAlignment="1">
      <x:alignment vertical="center"/>
    </x:xf>
    <x:xf numFmtId="0" fontId="18" fillId="11" borderId="41" xfId="0" applyNumberFormat="1" applyFont="1" applyFill="1" applyBorder="1" applyAlignment="1">
      <x:alignment vertical="center"/>
    </x:xf>
    <x:xf numFmtId="0" fontId="18" fillId="11" borderId="42" xfId="0" applyNumberFormat="1" applyFont="1" applyFill="1" applyBorder="1" applyAlignment="1">
      <x:alignment vertical="center"/>
    </x:xf>
    <x:xf numFmtId="0" fontId="21" fillId="11" borderId="17" xfId="0" applyNumberFormat="1" applyFont="1" applyFill="1" applyBorder="1" applyAlignment="1">
      <x:alignment horizontal="center" vertical="center"/>
    </x:xf>
    <x:xf numFmtId="0" fontId="21" fillId="11" xfId="0" applyNumberFormat="1" applyFont="1" applyFill="1" applyBorder="0" applyAlignment="1">
      <x:alignment horizontal="center" vertical="center"/>
    </x:xf>
    <x:xf numFmtId="0" fontId="21" fillId="11" borderId="31" xfId="0" applyNumberFormat="1" applyFont="1" applyFill="1" applyBorder="1" applyAlignment="1">
      <x:alignment horizontal="center" vertical="center"/>
    </x:xf>
    <x:xf numFmtId="0" fontId="21" fillId="11" borderId="32" xfId="0" applyNumberFormat="1" applyFont="1" applyFill="1" applyBorder="1" applyAlignment="1">
      <x:alignment horizontal="center" vertical="center"/>
    </x:xf>
    <x:xf numFmtId="0" fontId="21" fillId="11" borderId="33" xfId="0" applyNumberFormat="1" applyFont="1" applyFill="1" applyBorder="1" applyAlignment="1">
      <x:alignment horizontal="center" vertical="center"/>
    </x:xf>
    <x:xf numFmtId="0" fontId="21" fillId="11" borderId="31" xfId="0" applyNumberFormat="1" applyFont="1" applyFill="1" applyBorder="1" applyAlignment="1">
      <x:alignment horizontal="left" vertical="center"/>
    </x:xf>
    <x:xf numFmtId="0" fontId="21" fillId="11" borderId="32" xfId="0" applyNumberFormat="1" applyFont="1" applyFill="1" applyBorder="1" applyAlignment="1">
      <x:alignment horizontal="left" vertical="center"/>
    </x:xf>
    <x:xf numFmtId="0" fontId="21" fillId="11" borderId="33" xfId="0" applyNumberFormat="1" applyFont="1" applyFill="1" applyBorder="1" applyAlignment="1">
      <x:alignment horizontal="left" vertical="center"/>
    </x:xf>
    <x:xf numFmtId="202" fontId="23" fillId="11" borderId="36" xfId="0" applyNumberFormat="1" applyFont="1" applyFill="1" applyBorder="1" applyAlignment="1">
      <x:alignment horizontal="center" vertical="center"/>
    </x:xf>
    <x:xf numFmtId="202" fontId="23" fillId="11" borderId="37" xfId="0" applyNumberFormat="1" applyFont="1" applyFill="1" applyBorder="1" applyAlignment="1">
      <x:alignment horizontal="center" vertical="center"/>
    </x:xf>
    <x:xf numFmtId="202" fontId="23" fillId="11" borderId="38" xfId="0" applyNumberFormat="1" applyFont="1" applyFill="1" applyBorder="1" applyAlignment="1">
      <x:alignment horizontal="center" vertical="center"/>
    </x:xf>
    <x:xf numFmtId="202" fontId="23" fillId="11" borderId="31" xfId="0" applyNumberFormat="1" applyFont="1" applyFill="1" applyBorder="1" applyAlignment="1">
      <x:alignment horizontal="center" vertical="center"/>
    </x:xf>
    <x:xf numFmtId="202" fontId="23" fillId="11" borderId="32" xfId="0" applyNumberFormat="1" applyFont="1" applyFill="1" applyBorder="1" applyAlignment="1">
      <x:alignment horizontal="center" vertical="center"/>
    </x:xf>
    <x:xf numFmtId="202" fontId="23" fillId="11" borderId="33" xfId="0" applyNumberFormat="1" applyFont="1" applyFill="1" applyBorder="1" applyAlignment="1">
      <x:alignment horizontal="center" vertical="center"/>
    </x:xf>
    <x:xf numFmtId="202" fontId="23" fillId="11" borderId="31" xfId="0" applyNumberFormat="1" applyFont="1" applyFill="1" applyBorder="1" applyAlignment="1">
      <x:alignment horizontal="left" vertical="center"/>
    </x:xf>
    <x:xf numFmtId="202" fontId="23" fillId="11" borderId="32" xfId="0" applyNumberFormat="1" applyFont="1" applyFill="1" applyBorder="1" applyAlignment="1">
      <x:alignment horizontal="left" vertical="center"/>
    </x:xf>
    <x:xf numFmtId="202" fontId="23" fillId="11" borderId="33" xfId="0" applyNumberFormat="1" applyFont="1" applyFill="1" applyBorder="1" applyAlignment="1">
      <x:alignment horizontal="left" vertical="center"/>
    </x:xf>
    <x:xf numFmtId="0" fontId="23" fillId="11" borderId="39" xfId="0" applyNumberFormat="1" applyFont="1" applyFill="1" applyBorder="1" applyAlignment="1">
      <x:alignment horizontal="center" vertical="center"/>
    </x:xf>
    <x:xf numFmtId="0" fontId="23" fillId="11" borderId="37" xfId="0" applyNumberFormat="1" applyFont="1" applyFill="1" applyBorder="1" applyAlignment="1">
      <x:alignment horizontal="center" vertical="center"/>
    </x:xf>
    <x:xf numFmtId="0" fontId="23" fillId="11" borderId="38" xfId="0" applyNumberFormat="1" applyFont="1" applyFill="1" applyBorder="1" applyAlignment="1">
      <x:alignment horizontal="center" vertical="center"/>
    </x:xf>
    <x:xf numFmtId="0" fontId="23" fillId="11" borderId="31" xfId="0" applyNumberFormat="1" applyFont="1" applyFill="1" applyBorder="1" applyAlignment="1">
      <x:alignment horizontal="center" vertical="center"/>
    </x:xf>
    <x:xf numFmtId="0" fontId="23" fillId="11" borderId="32" xfId="0" applyNumberFormat="1" applyFont="1" applyFill="1" applyBorder="1" applyAlignment="1">
      <x:alignment horizontal="center" vertical="center"/>
    </x:xf>
    <x:xf numFmtId="0" fontId="23" fillId="11" borderId="33" xfId="0" applyNumberFormat="1" applyFont="1" applyFill="1" applyBorder="1" applyAlignment="1">
      <x:alignment horizontal="center" vertical="center"/>
    </x:xf>
    <x:xf numFmtId="0" fontId="23" fillId="11" borderId="31" xfId="0" applyNumberFormat="1" applyFont="1" applyFill="1" applyBorder="1" applyAlignment="1">
      <x:alignment horizontal="left" vertical="center"/>
    </x:xf>
    <x:xf numFmtId="0" fontId="23" fillId="11" borderId="32" xfId="0" applyNumberFormat="1" applyFont="1" applyFill="1" applyBorder="1" applyAlignment="1">
      <x:alignment horizontal="left" vertical="center"/>
    </x:xf>
    <x:xf numFmtId="0" fontId="23" fillId="11" borderId="33" xfId="0" applyNumberFormat="1" applyFont="1" applyFill="1" applyBorder="1" applyAlignment="1">
      <x:alignment horizontal="left" vertical="center"/>
    </x:xf>
    <x:xf numFmtId="203" fontId="23" fillId="11" borderId="39" xfId="0" applyNumberFormat="1" applyFont="1" applyFill="1" applyBorder="1" applyAlignment="1">
      <x:alignment horizontal="center" vertical="center"/>
    </x:xf>
    <x:xf numFmtId="203" fontId="23" fillId="11" borderId="37" xfId="0" applyNumberFormat="1" applyFont="1" applyFill="1" applyBorder="1" applyAlignment="1">
      <x:alignment horizontal="center" vertical="center"/>
    </x:xf>
    <x:xf numFmtId="203" fontId="23" fillId="11" borderId="38" xfId="0" applyNumberFormat="1" applyFont="1" applyFill="1" applyBorder="1" applyAlignment="1">
      <x:alignment horizontal="center" vertical="center"/>
    </x:xf>
    <x:xf numFmtId="203" fontId="23" fillId="11" borderId="31" xfId="0" applyNumberFormat="1" applyFont="1" applyFill="1" applyBorder="1" applyAlignment="1">
      <x:alignment horizontal="center" vertical="center"/>
    </x:xf>
    <x:xf numFmtId="203" fontId="23" fillId="11" borderId="32" xfId="0" applyNumberFormat="1" applyFont="1" applyFill="1" applyBorder="1" applyAlignment="1">
      <x:alignment horizontal="center" vertical="center"/>
    </x:xf>
    <x:xf numFmtId="203" fontId="23" fillId="11" borderId="33" xfId="0" applyNumberFormat="1" applyFont="1" applyFill="1" applyBorder="1" applyAlignment="1">
      <x:alignment horizontal="center" vertical="center"/>
    </x:xf>
    <x:xf numFmtId="203" fontId="23" fillId="11" borderId="31" xfId="0" applyNumberFormat="1" applyFont="1" applyFill="1" applyBorder="1" applyAlignment="1">
      <x:alignment horizontal="left" vertical="center"/>
    </x:xf>
    <x:xf numFmtId="203" fontId="23" fillId="11" borderId="32" xfId="0" applyNumberFormat="1" applyFont="1" applyFill="1" applyBorder="1" applyAlignment="1">
      <x:alignment horizontal="left" vertical="center"/>
    </x:xf>
    <x:xf numFmtId="203" fontId="23" fillId="11" borderId="33" xfId="0" applyNumberFormat="1" applyFont="1" applyFill="1" applyBorder="1" applyAlignment="1">
      <x:alignment horizontal="left" vertical="center"/>
    </x:xf>
    <x:xf numFmtId="0" fontId="18" fillId="11" borderId="34" xfId="0" applyNumberFormat="1" applyFont="1" applyFill="1" applyBorder="1" applyAlignment="1">
      <x:alignment vertical="center"/>
    </x:xf>
    <x:xf numFmtId="201" fontId="18" fillId="11" borderId="34" xfId="0" applyNumberFormat="1" applyFont="1" applyFill="1" applyBorder="1" applyAlignment="1">
      <x:alignment horizontal="right" vertical="center"/>
    </x:xf>
    <x:xf numFmtId="0" fontId="18" fillId="13" borderId="34" xfId="0" applyNumberFormat="1" applyFont="1" applyFill="1" applyBorder="1" applyAlignment="1">
      <x:alignment vertical="center"/>
    </x:xf>
    <x:xf numFmtId="201" fontId="18" fillId="13" borderId="34" xfId="0" applyNumberFormat="1" applyFont="1" applyFill="1" applyBorder="1" applyAlignment="1">
      <x:alignment horizontal="right" vertical="center"/>
    </x:xf>
    <x:xf numFmtId="0" fontId="21" fillId="13" borderId="34" xfId="0" applyNumberFormat="1" applyFont="1" applyFill="1" applyBorder="1" applyAlignment="1">
      <x:alignment vertical="center"/>
    </x:xf>
    <x:xf numFmtId="201" fontId="21" fillId="13" borderId="34" xfId="0" applyNumberFormat="1" applyFont="1" applyFill="1" applyBorder="1" applyAlignment="1">
      <x:alignment horizontal="right" vertical="center"/>
    </x:xf>
    <x:xf numFmtId="0" fontId="18" fillId="11" borderId="34" xfId="0" applyNumberFormat="1" applyFont="1" applyFill="1" applyBorder="1" applyAlignment="1">
      <x:alignment horizontal="center" vertical="center"/>
    </x:xf>
    <x:xf numFmtId="0" fontId="18" fillId="13" borderId="34" xfId="0" applyNumberFormat="1" applyFont="1" applyFill="1" applyBorder="1" applyAlignment="1">
      <x:alignment horizontal="center" vertical="center"/>
    </x:xf>
    <x:xf numFmtId="0" fontId="21" fillId="13" borderId="34" xfId="0" applyNumberFormat="1" applyFont="1" applyFill="1" applyBorder="1" applyAlignment="1">
      <x:alignment horizontal="center" vertical="center"/>
    </x:xf>
    <x:xf numFmtId="201" fontId="18" fillId="11" xfId="0" applyNumberFormat="1" applyFont="1" applyFill="1" applyBorder="0" applyAlignment="1">
      <x:alignment vertical="center"/>
    </x:xf>
    <x:xf numFmtId="201" fontId="21" fillId="12" borderId="34" xfId="0" applyNumberFormat="1" applyFont="1" applyFill="1" applyBorder="1" applyAlignment="1">
      <x:alignment horizontal="center" vertical="center" wrapText="1"/>
    </x:xf>
    <x:xf numFmtId="201" fontId="18" fillId="11" borderId="34" xfId="0" applyNumberFormat="1" applyFont="1" applyFill="1" applyBorder="1" applyAlignment="1">
      <x:alignment horizontal="center" vertical="center"/>
    </x:xf>
    <x:xf numFmtId="201" fontId="21" fillId="13" borderId="34" xfId="0" applyNumberFormat="1" applyFont="1" applyFill="1" applyBorder="1" applyAlignment="1">
      <x:alignment horizontal="center" vertical="center"/>
    </x:xf>
    <x:xf numFmtId="201" fontId="18" fillId="11" borderId="18" xfId="0" applyNumberFormat="1" applyFont="1" applyFill="1" applyBorder="1" applyAlignment="1">
      <x:alignment vertical="center"/>
    </x:xf>
    <x:xf numFmtId="201" fontId="18" fillId="11" borderId="41" xfId="0" applyNumberFormat="1" applyFont="1" applyFill="1" applyBorder="1" applyAlignment="1">
      <x:alignment vertical="center"/>
    </x:xf>
    <x:xf numFmtId="201" fontId="18" fillId="11" borderId="42" xfId="0" applyNumberFormat="1" applyFont="1" applyFill="1" applyBorder="1" applyAlignment="1">
      <x:alignment vertical="center"/>
    </x:xf>
    <x:xf numFmtId="0" fontId="2" fillId="11" borderId="0" xfId="0" applyNumberFormat="1" applyFont="1" applyFill="1" applyBorder="1"/>
    <x:xf numFmtId="207" fontId="3" fillId="11" borderId="1" xfId="0" applyNumberFormat="1" applyFont="1" applyFill="1" applyBorder="1" applyAlignment="1">
      <x:alignment horizontal="center" vertical="center" wrapText="1"/>
    </x:xf>
    <x:xf numFmtId="0" fontId="4" fillId="11" borderId="6" xfId="0" applyNumberFormat="1" applyFont="1" applyFill="1" applyBorder="1" applyAlignment="1">
      <x:alignment vertical="center" wrapText="1"/>
    </x:xf>
    <x:xf numFmtId="206" fontId="0" fillId="11" borderId="6" xfId="0" applyNumberFormat="1" applyFont="1" applyFill="1" applyBorder="1" applyAlignment="1">
      <x:alignment vertical="center" wrapText="1"/>
    </x:xf>
    <x:xf numFmtId="204" fontId="0" fillId="11" borderId="6" xfId="0" applyNumberFormat="1" applyFont="1" applyFill="1" applyBorder="1" applyAlignment="1">
      <x:alignment vertical="center" wrapText="1"/>
    </x:xf>
    <x:xf numFmtId="0" fontId="12" fillId="11" borderId="0" xfId="0" applyNumberFormat="1" applyFont="1" applyFill="1" applyBorder="1" applyAlignment="1">
      <x:alignment horizontal="center" vertical="center"/>
    </x:xf>
    <x:xf numFmtId="0" fontId="5" fillId="11" borderId="6" xfId="0" applyNumberFormat="1" applyFont="1" applyFill="1" applyBorder="1" applyAlignment="1">
      <x:alignment vertical="center" wrapText="1"/>
    </x:xf>
    <x:xf numFmtId="0" fontId="13" fillId="11" borderId="0" xfId="0" applyNumberFormat="1" applyFont="1" applyFill="1" applyBorder="1" applyAlignment="1">
      <x:alignment horizontal="center" vertical="center"/>
    </x:xf>
    <x:xf numFmtId="0" fontId="6" fillId="11" borderId="6" xfId="0" applyNumberFormat="1" applyFont="1" applyFill="1" applyBorder="1" applyAlignment="1">
      <x:alignment vertical="center" wrapText="1"/>
    </x:xf>
    <x:xf numFmtId="0" fontId="14" fillId="11" borderId="0" xfId="0" applyNumberFormat="1" applyFont="1" applyFill="1" applyBorder="1" applyAlignment="1">
      <x:alignment horizontal="center" vertical="center"/>
    </x:xf>
    <x:xf numFmtId="0" fontId="7" fillId="11" borderId="6" xfId="0" applyNumberFormat="1" applyFont="1" applyFill="1" applyBorder="1" applyAlignment="1">
      <x:alignment vertical="center" wrapText="1"/>
    </x:xf>
    <x:xf numFmtId="0" fontId="15" fillId="11" borderId="0" xfId="0" applyNumberFormat="1" applyFont="1" applyFill="1" applyBorder="1" applyAlignment="1">
      <x:alignment horizontal="center" vertical="center"/>
    </x:xf>
    <x:xf numFmtId="0" fontId="17" fillId="11" borderId="0" xfId="0" applyNumberFormat="1" applyFont="1" applyFill="1" applyBorder="1"/>
    <x:xf numFmtId="207" fontId="18" fillId="11" borderId="1" xfId="0" applyNumberFormat="1" applyFont="1" applyFill="1" applyBorder="1" applyAlignment="1">
      <x:alignment horizontal="center" vertical="center" wrapText="1"/>
    </x:xf>
    <x:xf numFmtId="206" fontId="18" fillId="11" borderId="6" xfId="0" applyNumberFormat="1" applyFont="1" applyFill="1" applyBorder="1" applyAlignment="1">
      <x:alignment vertical="center" wrapText="1"/>
    </x:xf>
    <x:xf numFmtId="204" fontId="18" fillId="11" borderId="6" xfId="0" applyNumberFormat="1" applyFont="1" applyFill="1" applyBorder="1" applyAlignment="1">
      <x:alignment vertical="center" wrapText="1"/>
    </x:xf>
    <x:xf numFmtId="0" fontId="24" fillId="11" borderId="0" xfId="0" applyNumberFormat="1" applyFont="1" applyFill="1" applyBorder="1" applyAlignment="1">
      <x:alignment horizontal="center" vertical="center"/>
    </x:xf>
    <x:xf numFmtId="0" fontId="17" fillId="11" borderId="17" xfId="0" applyNumberFormat="1" applyFont="1" applyFill="1" applyBorder="1"/>
    <x:xf numFmtId="0" fontId="17" fillId="11" xfId="0" applyNumberFormat="1" applyFont="1" applyFill="1" applyBorder="0"/>
    <x:xf numFmtId="207" fontId="18" fillId="11" borderId="20" xfId="0" applyNumberFormat="1" applyFont="1" applyFill="1" applyBorder="1" applyAlignment="1">
      <x:alignment horizontal="center" vertical="center" wrapText="1"/>
    </x:xf>
    <x:xf numFmtId="207" fontId="18" fillId="11" borderId="21" xfId="0" applyNumberFormat="1" applyFont="1" applyFill="1" applyBorder="1" applyAlignment="1">
      <x:alignment horizontal="center" vertical="center" wrapText="1"/>
    </x:xf>
    <x:xf numFmtId="0" fontId="18" fillId="11" borderId="25" xfId="0" applyNumberFormat="1" applyFont="1" applyFill="1" applyBorder="1" applyAlignment="1">
      <x:alignment vertical="center" wrapText="1"/>
    </x:xf>
    <x:xf numFmtId="206" fontId="18" fillId="11" borderId="26" xfId="0" applyNumberFormat="1" applyFont="1" applyFill="1" applyBorder="1" applyAlignment="1">
      <x:alignment vertical="center" wrapText="1"/>
    </x:xf>
    <x:xf numFmtId="204" fontId="18" fillId="11" borderId="26" xfId="0" applyNumberFormat="1" applyFont="1" applyFill="1" applyBorder="1" applyAlignment="1">
      <x:alignment vertical="center" wrapText="1"/>
    </x:xf>
    <x:xf numFmtId="0" fontId="24" fillId="11" xfId="0" applyNumberFormat="1" applyFont="1" applyFill="1" applyBorder="0" applyAlignment="1">
      <x:alignment horizontal="center" vertical="center"/>
    </x:xf>
    <x:xf numFmtId="0" fontId="24" fillId="11" borderId="18" xfId="0" applyNumberFormat="1" applyFont="1" applyFill="1" applyBorder="1" applyAlignment="1">
      <x:alignment horizontal="center" vertical="center"/>
    </x:xf>
    <x:xf numFmtId="0" fontId="18" fillId="11" borderId="28" xfId="0" applyNumberFormat="1" applyFont="1" applyFill="1" applyBorder="1" applyAlignment="1">
      <x:alignment vertical="center" wrapText="1"/>
    </x:xf>
    <x:xf numFmtId="206" fontId="18" fillId="11" borderId="29" xfId="0" applyNumberFormat="1" applyFont="1" applyFill="1" applyBorder="1" applyAlignment="1">
      <x:alignment vertical="center" wrapText="1"/>
    </x:xf>
    <x:xf numFmtId="204" fontId="18" fillId="11" borderId="29" xfId="0" applyNumberFormat="1" applyFont="1" applyFill="1" applyBorder="1" applyAlignment="1">
      <x:alignment vertical="center" wrapText="1"/>
    </x:xf>
    <x:xf numFmtId="0" fontId="24" fillId="11" borderId="41" xfId="0" applyNumberFormat="1" applyFont="1" applyFill="1" applyBorder="1" applyAlignment="1">
      <x:alignment horizontal="center" vertical="center"/>
    </x:xf>
    <x:xf numFmtId="0" fontId="24" fillId="11" borderId="42" xfId="0" applyNumberFormat="1" applyFont="1" applyFill="1" applyBorder="1" applyAlignment="1">
      <x:alignment horizontal="center" vertical="center"/>
    </x:xf>
    <x:xf numFmtId="0" fontId="17" fillId="11" borderId="17" xfId="0" applyNumberFormat="1" applyFont="1" applyFill="1" applyBorder="1" applyAlignment="1">
      <x:alignment vertical="center"/>
    </x:xf>
    <x:xf numFmtId="0" fontId="17" fillId="11" xfId="0" applyNumberFormat="1" applyFont="1" applyFill="1" applyBorder="0" applyAlignment="1">
      <x:alignment vertical="center"/>
    </x:xf>
    <x:xf numFmtId="0" fontId="20" fillId="11" borderId="17" xfId="0" applyNumberFormat="1" applyFont="1" applyFill="1" applyBorder="1" applyAlignment="1">
      <x:alignment vertical="center"/>
    </x:xf>
    <x:xf numFmtId="0" fontId="20" fillId="11" xfId="0" applyNumberFormat="1" applyFont="1" applyFill="1" applyBorder="0" applyAlignment="1">
      <x:alignment vertical="center"/>
    </x:xf>
    <x:xf numFmtId="0" fontId="20" fillId="11" borderId="31" xfId="0" applyNumberFormat="1" applyFont="1" applyFill="1" applyBorder="1" applyAlignment="1">
      <x:alignment vertical="center"/>
    </x:xf>
    <x:xf numFmtId="0" fontId="20" fillId="11" borderId="32" xfId="0" applyNumberFormat="1" applyFont="1" applyFill="1" applyBorder="1" applyAlignment="1">
      <x:alignment vertical="center"/>
    </x:xf>
    <x:xf numFmtId="0" fontId="20" fillId="11" borderId="33" xfId="0" applyNumberFormat="1" applyFont="1" applyFill="1" applyBorder="1" applyAlignment="1">
      <x:alignment vertical="center"/>
    </x:xf>
    <x:xf numFmtId="206" fontId="18" fillId="11" borderId="34" xfId="0" applyNumberFormat="1" applyFont="1" applyFill="1" applyBorder="1" applyAlignment="1">
      <x:alignment vertical="center" wrapText="1"/>
    </x:xf>
    <x:xf numFmtId="204" fontId="18" fillId="11" borderId="34" xfId="0" applyNumberFormat="1" applyFont="1" applyFill="1" applyBorder="1" applyAlignment="1">
      <x:alignment vertical="center" wrapText="1"/>
    </x:xf>
    <x:xf numFmtId="207" fontId="18" fillId="11" borderId="34" xfId="0" applyNumberFormat="1" applyFont="1" applyFill="1" applyBorder="1" applyAlignment="1">
      <x:alignment horizontal="center" vertical="center" wrapText="1"/>
    </x:xf>
    <x:xf numFmtId="0" fontId="24" fillId="11" borderId="34" xfId="0" applyNumberFormat="1" applyFont="1" applyFill="1" applyBorder="1" applyAlignment="1">
      <x:alignment horizontal="center" vertical="center"/>
    </x:xf>
    <x:xf numFmtId="207" fontId="18" fillId="12" borderId="34" xfId="0" applyNumberFormat="1" applyFont="1" applyFill="1" applyBorder="1" applyAlignment="1">
      <x:alignment horizontal="center" vertical="center" wrapText="1"/>
    </x:xf>
    <x:xf numFmtId="207" fontId="21" fillId="12" borderId="34" xfId="0" applyNumberFormat="1" applyFont="1" applyFill="1" applyBorder="1" applyAlignment="1">
      <x:alignment horizontal="center" vertical="center" wrapText="1"/>
    </x:xf>
    <x:xf numFmtId="204" fontId="18" fillId="11" borderId="34" xfId="0" applyNumberFormat="1" applyFont="1" applyFill="1" applyBorder="1" applyAlignment="1">
      <x:alignment horizontal="center" vertical="center" wrapText="1"/>
    </x:xf>
    <x:xf numFmtId="0" fontId="24" fillId="14" borderId="34" xfId="0" applyNumberFormat="1" applyFont="1" applyFill="1" applyBorder="1" applyAlignment="1">
      <x:alignment horizontal="center" vertical="center"/>
    </x:xf>
    <x:xf numFmtId="0" fontId="25" fillId="14" borderId="34" xfId="0" applyNumberFormat="1" applyFont="1" applyFill="1" applyBorder="1" applyAlignment="1">
      <x:alignment horizontal="center" vertical="center"/>
    </x:xf>
    <x:xf numFmtId="0" fontId="18" fillId="15" borderId="17" xfId="0" applyNumberFormat="1" applyFont="1" applyFill="1" applyBorder="1" applyAlignment="1">
      <x:alignment vertical="center"/>
    </x:xf>
    <x:xf numFmtId="0" fontId="18" fillId="15" xfId="0" applyNumberFormat="1" applyFont="1" applyFill="1" applyBorder="0" applyAlignment="1">
      <x:alignment vertical="center"/>
    </x:xf>
    <x:xf numFmtId="201" fontId="18" fillId="15" xfId="0" applyNumberFormat="1" applyFont="1" applyFill="1" applyBorder="0" applyAlignment="1">
      <x:alignment vertical="center"/>
    </x:xf>
    <x:xf numFmtId="201" fontId="18" fillId="15" borderId="18" xfId="0" applyNumberFormat="1" applyFont="1" applyFill="1" applyBorder="1" applyAlignment="1">
      <x:alignment vertical="center"/>
    </x:xf>
    <x:xf numFmtId="0" fontId="26" fillId="15" borderId="17" xfId="0" applyNumberFormat="1" applyFont="1" applyFill="1" applyBorder="1" applyAlignment="1">
      <x:alignment vertical="center"/>
    </x:xf>
    <x:xf numFmtId="0" fontId="26" fillId="15" xfId="0" applyNumberFormat="1" applyFont="1" applyFill="1" applyBorder="0" applyAlignment="1">
      <x:alignment vertical="center"/>
    </x:xf>
    <x:xf numFmtId="201" fontId="26" fillId="15" xfId="0" applyNumberFormat="1" applyFont="1" applyFill="1" applyBorder="0" applyAlignment="1">
      <x:alignment vertical="center"/>
    </x:xf>
    <x:xf numFmtId="201" fontId="26" fillId="15" borderId="18" xfId="0" applyNumberFormat="1" applyFont="1" applyFill="1" applyBorder="1" applyAlignment="1">
      <x:alignment vertical="center"/>
    </x:xf>
    <x:xf numFmtId="0" fontId="26" fillId="15" borderId="31" xfId="0" applyNumberFormat="1" applyFont="1" applyFill="1" applyBorder="1" applyAlignment="1">
      <x:alignment vertical="center"/>
    </x:xf>
    <x:xf numFmtId="0" fontId="26" fillId="15" borderId="32" xfId="0" applyNumberFormat="1" applyFont="1" applyFill="1" applyBorder="1" applyAlignment="1">
      <x:alignment vertical="center"/>
    </x:xf>
    <x:xf numFmtId="201" fontId="26" fillId="15" borderId="32" xfId="0" applyNumberFormat="1" applyFont="1" applyFill="1" applyBorder="1" applyAlignment="1">
      <x:alignment vertical="center"/>
    </x:xf>
    <x:xf numFmtId="201" fontId="26" fillId="15" borderId="33" xfId="0" applyNumberFormat="1" applyFont="1" applyFill="1" applyBorder="1" applyAlignment="1">
      <x:alignment vertical="center"/>
    </x:xf>
    <x:xf numFmtId="0" fontId="26" fillId="15" borderId="31" xfId="0" applyNumberFormat="1" applyFont="1" applyFill="1" applyBorder="1" applyAlignment="1">
      <x:alignment vertical="center" wrapText="1"/>
    </x:xf>
    <x:xf numFmtId="0" fontId="26" fillId="15" borderId="32" xfId="0" applyNumberFormat="1" applyFont="1" applyFill="1" applyBorder="1" applyAlignment="1">
      <x:alignment vertical="center" wrapText="1"/>
    </x:xf>
    <x:xf numFmtId="201" fontId="26" fillId="15" borderId="32" xfId="0" applyNumberFormat="1" applyFont="1" applyFill="1" applyBorder="1" applyAlignment="1">
      <x:alignment vertical="center" wrapText="1"/>
    </x:xf>
    <x:xf numFmtId="201" fontId="26" fillId="15" borderId="33" xfId="0" applyNumberFormat="1" applyFont="1" applyFill="1" applyBorder="1" applyAlignment="1">
      <x:alignment vertical="center" wrapText="1"/>
    </x:xf>
    <x:xf numFmtId="0" fontId="26" fillId="15" borderId="31" xfId="0" applyNumberFormat="1" applyFont="1" applyFill="1" applyBorder="1" applyAlignment="1">
      <x:alignment horizontal="left" vertical="center" wrapText="1"/>
    </x:xf>
    <x:xf numFmtId="0" fontId="26" fillId="15" borderId="32" xfId="0" applyNumberFormat="1" applyFont="1" applyFill="1" applyBorder="1" applyAlignment="1">
      <x:alignment horizontal="left" vertical="center" wrapText="1"/>
    </x:xf>
    <x:xf numFmtId="201" fontId="26" fillId="15" borderId="32" xfId="0" applyNumberFormat="1" applyFont="1" applyFill="1" applyBorder="1" applyAlignment="1">
      <x:alignment horizontal="left" vertical="center" wrapText="1"/>
    </x:xf>
    <x:xf numFmtId="201" fontId="26" fillId="15" borderId="33" xfId="0" applyNumberFormat="1" applyFont="1" applyFill="1" applyBorder="1" applyAlignment="1">
      <x:alignment horizontal="left" vertical="center" wrapText="1"/>
    </x:xf>
    <x:xf numFmtId="0" fontId="20" fillId="16" borderId="31" xfId="0" applyNumberFormat="1" applyFont="1" applyFill="1" applyBorder="1" applyAlignment="1">
      <x:alignment horizontal="left" vertical="center" wrapText="1"/>
    </x:xf>
    <x:xf numFmtId="0" fontId="20" fillId="16" borderId="32" xfId="0" applyNumberFormat="1" applyFont="1" applyFill="1" applyBorder="1" applyAlignment="1">
      <x:alignment horizontal="left" vertical="center" wrapText="1"/>
    </x:xf>
    <x:xf numFmtId="201" fontId="20" fillId="16" borderId="32" xfId="0" applyNumberFormat="1" applyFont="1" applyFill="1" applyBorder="1" applyAlignment="1">
      <x:alignment horizontal="left" vertical="center" wrapText="1"/>
    </x:xf>
    <x:xf numFmtId="201" fontId="20" fillId="16" borderId="33" xfId="0" applyNumberFormat="1" applyFont="1" applyFill="1" applyBorder="1" applyAlignment="1">
      <x:alignment horizontal="left" vertical="center" wrapText="1"/>
    </x:xf>
    <x:xf numFmtId="0" fontId="27" fillId="16" borderId="31" xfId="0" applyNumberFormat="1" applyFont="1" applyFill="1" applyBorder="1" applyAlignment="1">
      <x:alignment horizontal="left" vertical="center" wrapText="1"/>
    </x:xf>
    <x:xf numFmtId="0" fontId="27" fillId="16" borderId="32" xfId="0" applyNumberFormat="1" applyFont="1" applyFill="1" applyBorder="1" applyAlignment="1">
      <x:alignment horizontal="left" vertical="center" wrapText="1"/>
    </x:xf>
    <x:xf numFmtId="201" fontId="27" fillId="16" borderId="32" xfId="0" applyNumberFormat="1" applyFont="1" applyFill="1" applyBorder="1" applyAlignment="1">
      <x:alignment horizontal="left" vertical="center" wrapText="1"/>
    </x:xf>
    <x:xf numFmtId="201" fontId="27" fillId="16" borderId="33" xfId="0" applyNumberFormat="1" applyFont="1" applyFill="1" applyBorder="1" applyAlignment="1">
      <x:alignment horizontal="left" vertical="center" wrapText="1"/>
    </x:xf>
    <x:xf numFmtId="206" fontId="18" fillId="11" borderId="3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b44400c5d645af" /><Relationship Type="http://schemas.openxmlformats.org/officeDocument/2006/relationships/theme" Target="/xl/theme/theme1.xml" Id="R6c4ba29911414631" /><Relationship Type="http://schemas.openxmlformats.org/officeDocument/2006/relationships/sharedStrings" Target="/xl/sharedStrings.xml" Id="R7e5c34211c934d78" /><Relationship Type="http://schemas.openxmlformats.org/officeDocument/2006/relationships/worksheet" Target="/xl/worksheets/sheet1.xml" Id="R673d47f0d3fc41a6" /><Relationship Type="http://schemas.openxmlformats.org/officeDocument/2006/relationships/worksheet" Target="/xl/worksheets/sheet2.xml" Id="R896f2ed985744691" /><Relationship Type="http://schemas.openxmlformats.org/officeDocument/2006/relationships/worksheet" Target="/xl/worksheets/sheet3.xml" Id="Rb0933809708b4029" /></Relationships>
</file>

<file path=xl/tables/table1.xml><?xml version="1.0" encoding="utf-8"?>
<x:table xmlns:x="http://schemas.openxmlformats.org/spreadsheetml/2006/main" id="1" name="DetailedResourcePlan" displayName="DetailedResourcePlan" ref="A4:L77" headerRowCount="1" totalsRowCount="0" totalsRowShown="0">
  <x:tableColumns count="12">
    <x:tableColumn id="1" name="WBS"/>
    <x:tableColumn id="2" name="Итерация"/>
    <x:tableColumn id="3" name="Фаза"/>
    <x:tableColumn id="4" name="Начало"/>
    <x:tableColumn id="5" name="Конец"/>
    <x:tableColumn id="6" name="Работа"/>
    <x:tableColumn id="7" name="Роль"/>
    <x:tableColumn id="8" name="Исполнитель"/>
    <x:tableColumn id="9" name="Часы"/>
    <x:tableColumn id="10" name="Ставка, ₽/ч"/>
    <x:tableColumn id="11" name="Стоимость, ₽"/>
    <x:tableColumn id="12" name="Результа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b5f5e28d0345cc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2.220000267028809" hidden="0" customWidth="1"/>
    <x:col min="2" max="2" width="7.78000020980835" hidden="0" customWidth="1"/>
    <x:col min="3" max="3" width="10.5600004196167" hidden="0" customWidth="1"/>
    <x:col min="4" max="4" width="15.5" hidden="0" customWidth="1"/>
    <x:col min="5" max="5" width="15.5" hidden="0" customWidth="1"/>
    <x:col min="6" max="6" width="40" hidden="0" customWidth="1"/>
    <x:col min="7" max="7" width="7.21999979019165" hidden="0" customWidth="1"/>
    <x:col min="8" max="8" width="16.110000610351562" hidden="0" customWidth="1"/>
    <x:col min="9" max="9" width="7.21999979019165" hidden="0" customWidth="1"/>
    <x:col min="10" max="10" width="10" hidden="0" customWidth="1"/>
    <x:col min="11" max="11" width="10.5600004196167" hidden="0" customWidth="1"/>
    <x:col min="12" max="12" width="28.889999389648438" hidden="0" customWidth="1"/>
  </x:cols>
  <x:sheetData>
    <x:row r="1" ht="30" customHeight="1">
      <x:c r="A1" s="239" t="str">
        <x:v>Календарно-ресурсный план Drakkar ERP</x:v>
      </x:c>
      <x:c r="B1" s="240" t="str">
        <x:v>Календарно-ресурсный план Drakkar ERP</x:v>
      </x:c>
      <x:c r="C1" s="240" t="str">
        <x:v>Календарно-ресурсный план Drakkar ERP</x:v>
      </x:c>
      <x:c r="D1" s="240" t="str">
        <x:v>Календарно-ресурсный план Drakkar ERP</x:v>
      </x:c>
      <x:c r="E1" s="240" t="str">
        <x:v>Календарно-ресурсный план Drakkar ERP</x:v>
      </x:c>
      <x:c r="F1" s="240" t="str">
        <x:v>Календарно-ресурсный план Drakkar ERP</x:v>
      </x:c>
      <x:c r="G1" s="240" t="str">
        <x:v>Календарно-ресурсный план Drakkar ERP</x:v>
      </x:c>
      <x:c r="H1" s="240" t="str">
        <x:v>Календарно-ресурсный план Drakkar ERP</x:v>
      </x:c>
      <x:c r="I1" s="240" t="str">
        <x:v>Календарно-ресурсный план Drakkar ERP</x:v>
      </x:c>
      <x:c r="J1" s="240" t="str">
        <x:v>Календарно-ресурсный план Drakkar ERP</x:v>
      </x:c>
      <x:c r="K1" s="240" t="str">
        <x:v>Календарно-ресурсный план Drakkar ERP</x:v>
      </x:c>
      <x:c r="L1" s="241" t="str">
        <x:v>Календарно-ресурсный план Drakkar ERP</x:v>
      </x:c>
    </x:row>
    <x:row r="2" ht="28.5" customHeight="1">
      <x:c r="A2" s="245" t="str">
        <x:v>Одна строка соответствует работе одной роли одного исполнителя; часы не дублируются. Коды ролей: PM — руководитель проекта; AN — аналитик; ARC — архитектор; DEV — разработчик; QA — специалист по качеству. UC — вариант использования.</x:v>
      </x:c>
      <x:c r="B2" s="246" t="str">
        <x:v>Одна строка соответствует работе одной роли одного исполнителя. Часы не дублируются при совмещении ролей.</x:v>
      </x:c>
      <x:c r="C2" s="246" t="str">
        <x:v>Одна строка соответствует работе одной роли одного исполнителя. Часы не дублируются при совмещении ролей.</x:v>
      </x:c>
      <x:c r="D2" s="246" t="str">
        <x:v>Одна строка соответствует работе одной роли одного исполнителя. Часы не дублируются при совмещении ролей.</x:v>
      </x:c>
      <x:c r="E2" s="246" t="str">
        <x:v>Одна строка соответствует работе одной роли одного исполнителя. Часы не дублируются при совмещении ролей.</x:v>
      </x:c>
      <x:c r="F2" s="246" t="str">
        <x:v>Одна строка соответствует работе одной роли одного исполнителя. Часы не дублируются при совмещении ролей.</x:v>
      </x:c>
      <x:c r="G2" s="246" t="str">
        <x:v>Одна строка соответствует работе одной роли одного исполнителя. Часы не дублируются при совмещении ролей.</x:v>
      </x:c>
      <x:c r="H2" s="246" t="str">
        <x:v>Одна строка соответствует работе одной роли одного исполнителя. Часы не дублируются при совмещении ролей.</x:v>
      </x:c>
      <x:c r="I2" s="246" t="str">
        <x:v>Одна строка соответствует работе одной роли одного исполнителя. Часы не дублируются при совмещении ролей.</x:v>
      </x:c>
      <x:c r="J2" s="246" t="str">
        <x:v>Одна строка соответствует работе одной роли одного исполнителя. Часы не дублируются при совмещении ролей.</x:v>
      </x:c>
      <x:c r="K2" s="246" t="str">
        <x:v>Одна строка соответствует работе одной роли одного исполнителя. Часы не дублируются при совмещении ролей.</x:v>
      </x:c>
      <x:c r="L2" s="247" t="str">
        <x:v>Одна строка соответствует работе одной роли одного исполнителя. Часы не дублируются при совмещении ролей.</x:v>
      </x:c>
    </x:row>
    <x:row r="3">
      <x:c r="A3" s="233"/>
      <x:c r="B3" s="234"/>
      <x:c r="C3" s="234"/>
      <x:c r="D3" s="234"/>
      <x:c r="E3" s="234"/>
      <x:c r="F3" s="234"/>
      <x:c r="G3" s="234"/>
      <x:c r="H3" s="234"/>
      <x:c r="I3" s="234"/>
      <x:c r="J3" s="234"/>
      <x:c r="K3" s="234"/>
      <x:c r="L3" s="235"/>
    </x:row>
    <x:row r="4" ht="30" customHeight="1">
      <x:c r="A4" s="253" t="str">
        <x:v>Код работы</x:v>
      </x:c>
      <x:c r="B4" s="253" t="str">
        <x:v>Итерация</x:v>
      </x:c>
      <x:c r="C4" s="253" t="str">
        <x:v>Фаза</x:v>
      </x:c>
      <x:c r="D4" s="253" t="str">
        <x:v>Начало</x:v>
      </x:c>
      <x:c r="E4" s="253" t="str">
        <x:v>Конец</x:v>
      </x:c>
      <x:c r="F4" s="253" t="str">
        <x:v>Работа</x:v>
      </x:c>
      <x:c r="G4" s="253" t="str">
        <x:v>Роль</x:v>
      </x:c>
      <x:c r="H4" s="253" t="str">
        <x:v>Исполнитель</x:v>
      </x:c>
      <x:c r="I4" s="253" t="str">
        <x:v>Часы</x:v>
      </x:c>
      <x:c r="J4" s="253" t="str">
        <x:v>Ставка, ₽/ч</x:v>
      </x:c>
      <x:c r="K4" s="253" t="str">
        <x:v>Стоимость, ₽</x:v>
      </x:c>
      <x:c r="L4" s="253" t="str">
        <x:v>Результат</x:v>
      </x:c>
    </x:row>
    <x:row r="5" ht="26.399999618530273" hidden="0" customHeight="1">
      <x:c r="A5" s="256" t="str">
        <x:v>I1-PM-RR</x:v>
      </x:c>
      <x:c r="B5" s="256" t="str">
        <x:v>I1</x:v>
      </x:c>
      <x:c r="C5" s="256" t="str">
        <x:v>Inception</x:v>
      </x:c>
      <x:c r="D5" s="455" t="n">
        <x:v>46113</x:v>
      </x:c>
      <x:c r="E5" s="455" t="n">
        <x:v>46126</x:v>
      </x:c>
      <x:c r="F5" s="258" t="str">
        <x:v>Планирование, контроль и согласование работ: анализ предметной области и подготовка vision</x:v>
      </x:c>
      <x:c r="G5" s="259" t="str">
        <x:v>PM</x:v>
      </x:c>
      <x:c r="H5" s="259" t="str">
        <x:v>Рахматулин Р.Б.</x:v>
      </x:c>
      <x:c r="I5" s="260" t="n">
        <x:v>2</x:v>
      </x:c>
      <x:c r="J5" s="260" t="n">
        <x:f>VLOOKUP(G5,'Сводка'!$A$14:$B$18,2,FALSE)</x:f>
        <x:v>1500</x:v>
      </x:c>
      <x:c r="K5" s="260" t="n">
        <x:f>I5*J5</x:f>
        <x:v>3000</x:v>
      </x:c>
      <x:c r="L5" s="258" t="str">
        <x:v>Vision v1.0; репозиторий на GitHub</x:v>
      </x:c>
    </x:row>
    <x:row r="6" ht="26.399999618530273" hidden="0" customHeight="1">
      <x:c r="A6" s="254" t="str">
        <x:v>I1-AN-RR</x:v>
      </x:c>
      <x:c r="B6" s="254" t="str">
        <x:v>I1</x:v>
      </x:c>
      <x:c r="C6" s="254" t="str">
        <x:v>Inception</x:v>
      </x:c>
      <x:c r="D6" s="249" t="n">
        <x:v>46113</x:v>
      </x:c>
      <x:c r="E6" s="249" t="n">
        <x:v>46126</x:v>
      </x:c>
      <x:c r="F6" s="250" t="str">
        <x:v>Уточнение бизнес-правил, границ и приоритетов: анализ предметной области и подготовка vision</x:v>
      </x:c>
      <x:c r="G6" s="248" t="str">
        <x:v>AN</x:v>
      </x:c>
      <x:c r="H6" s="248" t="str">
        <x:v>Рахматулин Р.Б.</x:v>
      </x:c>
      <x:c r="I6" s="251" t="n">
        <x:v>2</x:v>
      </x:c>
      <x:c r="J6" s="251" t="n">
        <x:f>VLOOKUP(G6,'Сводка'!$A$14:$B$18,2,FALSE)</x:f>
        <x:v>1000</x:v>
      </x:c>
      <x:c r="K6" s="251" t="n">
        <x:f>I6*J6</x:f>
        <x:v>2000</x:v>
      </x:c>
      <x:c r="L6" s="250" t="str">
        <x:v>Vision v1.0; репозиторий на GitHub</x:v>
      </x:c>
    </x:row>
    <x:row r="7" ht="26.399999618530273" hidden="0" customHeight="1">
      <x:c r="A7" s="254" t="str">
        <x:v>I1-ARC-RR</x:v>
      </x:c>
      <x:c r="B7" s="254" t="str">
        <x:v>I1</x:v>
      </x:c>
      <x:c r="C7" s="254" t="str">
        <x:v>Inception</x:v>
      </x:c>
      <x:c r="D7" s="249" t="n">
        <x:v>46113</x:v>
      </x:c>
      <x:c r="E7" s="249" t="n">
        <x:v>46126</x:v>
      </x:c>
      <x:c r="F7" s="250" t="str">
        <x:v>Проектирование архитектурных решений: анализ предметной области и подготовка vision</x:v>
      </x:c>
      <x:c r="G7" s="248" t="str">
        <x:v>ARC</x:v>
      </x:c>
      <x:c r="H7" s="248" t="str">
        <x:v>Рахматулин Р.Б.</x:v>
      </x:c>
      <x:c r="I7" s="251" t="n">
        <x:v>2</x:v>
      </x:c>
      <x:c r="J7" s="251" t="n">
        <x:f>VLOOKUP(G7,'Сводка'!$A$14:$B$18,2,FALSE)</x:f>
        <x:v>1400</x:v>
      </x:c>
      <x:c r="K7" s="251" t="n">
        <x:f>I7*J7</x:f>
        <x:v>2800</x:v>
      </x:c>
      <x:c r="L7" s="250" t="str">
        <x:v>Vision v1.0; репозиторий на GitHub</x:v>
      </x:c>
    </x:row>
    <x:row r="8" ht="39.599998474121094" hidden="0" customHeight="1">
      <x:c r="A8" s="254" t="str">
        <x:v>I1-AN-ND</x:v>
      </x:c>
      <x:c r="B8" s="254" t="str">
        <x:v>I1</x:v>
      </x:c>
      <x:c r="C8" s="254" t="str">
        <x:v>Inception</x:v>
      </x:c>
      <x:c r="D8" s="249" t="n">
        <x:v>46113</x:v>
      </x:c>
      <x:c r="E8" s="249" t="n">
        <x:v>46126</x:v>
      </x:c>
      <x:c r="F8" s="250" t="str">
        <x:v>Детализация сценариев, требований и критериев приёмки: анализ предметной области и подготовка vision</x:v>
      </x:c>
      <x:c r="G8" s="248" t="str">
        <x:v>AN</x:v>
      </x:c>
      <x:c r="H8" s="248" t="str">
        <x:v>Дементьев Н.А.</x:v>
      </x:c>
      <x:c r="I8" s="251" t="n">
        <x:v>6</x:v>
      </x:c>
      <x:c r="J8" s="251" t="n">
        <x:f>VLOOKUP(G8,'Сводка'!$A$14:$B$18,2,FALSE)</x:f>
        <x:v>1000</x:v>
      </x:c>
      <x:c r="K8" s="251" t="n">
        <x:f>I8*J8</x:f>
        <x:v>6000</x:v>
      </x:c>
      <x:c r="L8" s="250" t="str">
        <x:v>Vision v1.0; репозиторий на GitHub</x:v>
      </x:c>
    </x:row>
    <x:row r="9" ht="26.399999618530273" hidden="0" customHeight="1">
      <x:c r="A9" s="254" t="str">
        <x:v>I1-QA-ND</x:v>
      </x:c>
      <x:c r="B9" s="254" t="str">
        <x:v>I1</x:v>
      </x:c>
      <x:c r="C9" s="254" t="str">
        <x:v>Inception</x:v>
      </x:c>
      <x:c r="D9" s="249" t="n">
        <x:v>46113</x:v>
      </x:c>
      <x:c r="E9" s="249" t="n">
        <x:v>46126</x:v>
      </x:c>
      <x:c r="F9" s="250" t="str">
        <x:v>Подготовка и выполнение проверок: анализ предметной области и подготовка vision</x:v>
      </x:c>
      <x:c r="G9" s="248" t="str">
        <x:v>QA</x:v>
      </x:c>
      <x:c r="H9" s="248" t="str">
        <x:v>Дементьев Н.А.</x:v>
      </x:c>
      <x:c r="I9" s="251" t="n">
        <x:v>1</x:v>
      </x:c>
      <x:c r="J9" s="251" t="n">
        <x:f>VLOOKUP(G9,'Сводка'!$A$14:$B$18,2,FALSE)</x:f>
        <x:v>900</x:v>
      </x:c>
      <x:c r="K9" s="251" t="n">
        <x:f>I9*J9</x:f>
        <x:v>900</x:v>
      </x:c>
      <x:c r="L9" s="250" t="str">
        <x:v>Vision v1.0; репозиторий на GitHub</x:v>
      </x:c>
    </x:row>
    <x:row r="10" ht="39.599998474121094" hidden="0" customHeight="1">
      <x:c r="A10" s="254" t="str">
        <x:v>I2-PM-RR</x:v>
      </x:c>
      <x:c r="B10" s="254" t="str">
        <x:v>I2</x:v>
      </x:c>
      <x:c r="C10" s="254" t="str">
        <x:v>Inception</x:v>
      </x:c>
      <x:c r="D10" s="249" t="n">
        <x:v>46127</x:v>
      </x:c>
      <x:c r="E10" s="249" t="n">
        <x:v>46140</x:v>
      </x:c>
      <x:c r="F10" s="250" t="str">
        <x:v>Планирование, контроль и согласование работ: формализация требований, подготовка srs, sdp и uc, настройка окружения</x:v>
      </x:c>
      <x:c r="G10" s="248" t="str">
        <x:v>PM</x:v>
      </x:c>
      <x:c r="H10" s="248" t="str">
        <x:v>Рахматулин Р.Б.</x:v>
      </x:c>
      <x:c r="I10" s="251" t="n">
        <x:v>2</x:v>
      </x:c>
      <x:c r="J10" s="251" t="n">
        <x:f>VLOOKUP(G10,'Сводка'!$A$14:$B$18,2,FALSE)</x:f>
        <x:v>1500</x:v>
      </x:c>
      <x:c r="K10" s="251" t="n">
        <x:f>I10*J10</x:f>
        <x:v>3000</x:v>
      </x:c>
      <x:c r="L10" s="250" t="str">
        <x:v>SRS v1.0; SDP v1.0; настроенное окружение</x:v>
      </x:c>
    </x:row>
    <x:row r="11" ht="39.599998474121094" hidden="0" customHeight="1">
      <x:c r="A11" s="254" t="str">
        <x:v>I2-AN-RR</x:v>
      </x:c>
      <x:c r="B11" s="254" t="str">
        <x:v>I2</x:v>
      </x:c>
      <x:c r="C11" s="254" t="str">
        <x:v>Inception</x:v>
      </x:c>
      <x:c r="D11" s="249" t="n">
        <x:v>46127</x:v>
      </x:c>
      <x:c r="E11" s="249" t="n">
        <x:v>46140</x:v>
      </x:c>
      <x:c r="F11" s="250" t="str">
        <x:v>Уточнение бизнес-правил, границ и приоритетов: формализация требований, подготовка srs, sdp и uc, настройка окружения</x:v>
      </x:c>
      <x:c r="G11" s="248" t="str">
        <x:v>AN</x:v>
      </x:c>
      <x:c r="H11" s="248" t="str">
        <x:v>Рахматулин Р.Б.</x:v>
      </x:c>
      <x:c r="I11" s="251" t="n">
        <x:v>2</x:v>
      </x:c>
      <x:c r="J11" s="251" t="n">
        <x:f>VLOOKUP(G11,'Сводка'!$A$14:$B$18,2,FALSE)</x:f>
        <x:v>1000</x:v>
      </x:c>
      <x:c r="K11" s="251" t="n">
        <x:f>I11*J11</x:f>
        <x:v>2000</x:v>
      </x:c>
      <x:c r="L11" s="250" t="str">
        <x:v>SRS v1.0; SDP v1.0; настроенное окружение</x:v>
      </x:c>
    </x:row>
    <x:row r="12" ht="39.599998474121094" hidden="0" customHeight="1">
      <x:c r="A12" s="254" t="str">
        <x:v>I2-ARC-RR</x:v>
      </x:c>
      <x:c r="B12" s="254" t="str">
        <x:v>I2</x:v>
      </x:c>
      <x:c r="C12" s="254" t="str">
        <x:v>Inception</x:v>
      </x:c>
      <x:c r="D12" s="249" t="n">
        <x:v>46127</x:v>
      </x:c>
      <x:c r="E12" s="249" t="n">
        <x:v>46140</x:v>
      </x:c>
      <x:c r="F12" s="250" t="str">
        <x:v>Проектирование архитектурных решений: формализация требований, подготовка srs, sdp и uc, настройка окружения</x:v>
      </x:c>
      <x:c r="G12" s="248" t="str">
        <x:v>ARC</x:v>
      </x:c>
      <x:c r="H12" s="248" t="str">
        <x:v>Рахматулин Р.Б.</x:v>
      </x:c>
      <x:c r="I12" s="251" t="n">
        <x:v>2</x:v>
      </x:c>
      <x:c r="J12" s="251" t="n">
        <x:f>VLOOKUP(G12,'Сводка'!$A$14:$B$18,2,FALSE)</x:f>
        <x:v>1400</x:v>
      </x:c>
      <x:c r="K12" s="251" t="n">
        <x:f>I12*J12</x:f>
        <x:v>2800</x:v>
      </x:c>
      <x:c r="L12" s="250" t="str">
        <x:v>SRS v1.0; SDP v1.0; настроенное окружение</x:v>
      </x:c>
    </x:row>
    <x:row r="13" ht="39.599998474121094" hidden="0" customHeight="1">
      <x:c r="A13" s="254" t="str">
        <x:v>I2-DEV-RR</x:v>
      </x:c>
      <x:c r="B13" s="254" t="str">
        <x:v>I2</x:v>
      </x:c>
      <x:c r="C13" s="254" t="str">
        <x:v>Inception</x:v>
      </x:c>
      <x:c r="D13" s="249" t="n">
        <x:v>46127</x:v>
      </x:c>
      <x:c r="E13" s="249" t="n">
        <x:v>46140</x:v>
      </x:c>
      <x:c r="F13" s="250" t="str">
        <x:v>Реализация серверной части и интеграций: формализация требований, подготовка srs, sdp и uc, настройка окружения</x:v>
      </x:c>
      <x:c r="G13" s="248" t="str">
        <x:v>DEV</x:v>
      </x:c>
      <x:c r="H13" s="248" t="str">
        <x:v>Рахматулин Р.Б.</x:v>
      </x:c>
      <x:c r="I13" s="251" t="n">
        <x:v>1</x:v>
      </x:c>
      <x:c r="J13" s="251" t="n">
        <x:f>VLOOKUP(G13,'Сводка'!$A$14:$B$18,2,FALSE)</x:f>
        <x:v>1100</x:v>
      </x:c>
      <x:c r="K13" s="251" t="n">
        <x:f>I13*J13</x:f>
        <x:v>1100</x:v>
      </x:c>
      <x:c r="L13" s="250" t="str">
        <x:v>SRS v1.0; SDP v1.0; настроенное окружение</x:v>
      </x:c>
    </x:row>
    <x:row r="14" ht="39.599998474121094" hidden="0" customHeight="1">
      <x:c r="A14" s="254" t="str">
        <x:v>I2-AN-ND</x:v>
      </x:c>
      <x:c r="B14" s="254" t="str">
        <x:v>I2</x:v>
      </x:c>
      <x:c r="C14" s="254" t="str">
        <x:v>Inception</x:v>
      </x:c>
      <x:c r="D14" s="249" t="n">
        <x:v>46127</x:v>
      </x:c>
      <x:c r="E14" s="249" t="n">
        <x:v>46140</x:v>
      </x:c>
      <x:c r="F14" s="250" t="str">
        <x:v>Детализация сценариев, требований и критериев приёмки: формализация требований, подготовка srs, sdp и uc, настройка окружения</x:v>
      </x:c>
      <x:c r="G14" s="248" t="str">
        <x:v>AN</x:v>
      </x:c>
      <x:c r="H14" s="248" t="str">
        <x:v>Дементьев Н.А.</x:v>
      </x:c>
      <x:c r="I14" s="251" t="n">
        <x:v>4</x:v>
      </x:c>
      <x:c r="J14" s="251" t="n">
        <x:f>VLOOKUP(G14,'Сводка'!$A$14:$B$18,2,FALSE)</x:f>
        <x:v>1000</x:v>
      </x:c>
      <x:c r="K14" s="251" t="n">
        <x:f>I14*J14</x:f>
        <x:v>4000</x:v>
      </x:c>
      <x:c r="L14" s="250" t="str">
        <x:v>SRS v1.0; SDP v1.0; настроенное окружение</x:v>
      </x:c>
    </x:row>
    <x:row r="15" ht="39.599998474121094" hidden="0" customHeight="1">
      <x:c r="A15" s="254" t="str">
        <x:v>I2-DEV-ND</x:v>
      </x:c>
      <x:c r="B15" s="254" t="str">
        <x:v>I2</x:v>
      </x:c>
      <x:c r="C15" s="254" t="str">
        <x:v>Inception</x:v>
      </x:c>
      <x:c r="D15" s="249" t="n">
        <x:v>46127</x:v>
      </x:c>
      <x:c r="E15" s="249" t="n">
        <x:v>46140</x:v>
      </x:c>
      <x:c r="F15" s="250" t="str">
        <x:v>Реализация клиентской и прикладной части: формализация требований, подготовка srs, sdp и uc, настройка окружения</x:v>
      </x:c>
      <x:c r="G15" s="248" t="str">
        <x:v>DEV</x:v>
      </x:c>
      <x:c r="H15" s="248" t="str">
        <x:v>Дементьев Н.А.</x:v>
      </x:c>
      <x:c r="I15" s="251" t="n">
        <x:v>1</x:v>
      </x:c>
      <x:c r="J15" s="251" t="n">
        <x:f>VLOOKUP(G15,'Сводка'!$A$14:$B$18,2,FALSE)</x:f>
        <x:v>1100</x:v>
      </x:c>
      <x:c r="K15" s="251" t="n">
        <x:f>I15*J15</x:f>
        <x:v>1100</x:v>
      </x:c>
      <x:c r="L15" s="250" t="str">
        <x:v>SRS v1.0; SDP v1.0; настроенное окружение</x:v>
      </x:c>
    </x:row>
    <x:row r="16" ht="39.599998474121094" hidden="0" customHeight="1">
      <x:c r="A16" s="254" t="str">
        <x:v>I2-QA-ND</x:v>
      </x:c>
      <x:c r="B16" s="254" t="str">
        <x:v>I2</x:v>
      </x:c>
      <x:c r="C16" s="254" t="str">
        <x:v>Inception</x:v>
      </x:c>
      <x:c r="D16" s="249" t="n">
        <x:v>46127</x:v>
      </x:c>
      <x:c r="E16" s="249" t="n">
        <x:v>46140</x:v>
      </x:c>
      <x:c r="F16" s="250" t="str">
        <x:v>Подготовка и выполнение проверок: формализация требований, подготовка srs, sdp и uc, настройка окружения</x:v>
      </x:c>
      <x:c r="G16" s="248" t="str">
        <x:v>QA</x:v>
      </x:c>
      <x:c r="H16" s="248" t="str">
        <x:v>Дементьев Н.А.</x:v>
      </x:c>
      <x:c r="I16" s="251" t="n">
        <x:v>1</x:v>
      </x:c>
      <x:c r="J16" s="251" t="n">
        <x:f>VLOOKUP(G16,'Сводка'!$A$14:$B$18,2,FALSE)</x:f>
        <x:v>900</x:v>
      </x:c>
      <x:c r="K16" s="251" t="n">
        <x:f>I16*J16</x:f>
        <x:v>900</x:v>
      </x:c>
      <x:c r="L16" s="250" t="str">
        <x:v>SRS v1.0; SDP v1.0; настроенное окружение</x:v>
      </x:c>
    </x:row>
    <x:row r="17" ht="39.599998474121094" hidden="0" customHeight="1">
      <x:c r="A17" s="256" t="str">
        <x:v>E1-PM-RR</x:v>
      </x:c>
      <x:c r="B17" s="256" t="str">
        <x:v>E1</x:v>
      </x:c>
      <x:c r="C17" s="256" t="str">
        <x:v>Elaboration</x:v>
      </x:c>
      <x:c r="D17" s="455" t="n">
        <x:v>46141</x:v>
      </x:c>
      <x:c r="E17" s="455" t="n">
        <x:v>46154</x:v>
      </x:c>
      <x:c r="F17" s="258" t="str">
        <x:v>Планирование, контроль и согласование работ: проектирование бд и архитектурного базиса по uc3, uc4, uc7 и uc11</x:v>
      </x:c>
      <x:c r="G17" s="259" t="str">
        <x:v>PM</x:v>
      </x:c>
      <x:c r="H17" s="259" t="str">
        <x:v>Рахматулин Р.Б.</x:v>
      </x:c>
      <x:c r="I17" s="260" t="n">
        <x:v>2</x:v>
      </x:c>
      <x:c r="J17" s="260" t="n">
        <x:f>VLOOKUP(G17,'Сводка'!$A$14:$B$18,2,FALSE)</x:f>
        <x:v>1500</x:v>
      </x:c>
      <x:c r="K17" s="260" t="n">
        <x:f>I17*J17</x:f>
        <x:v>3000</x:v>
      </x:c>
      <x:c r="L17" s="258" t="str">
        <x:v>Архитектурные решения по архитектурно значимым UC3, UC4, UC7 и UC11</x:v>
      </x:c>
    </x:row>
    <x:row r="18" ht="39.599998474121094" hidden="0" customHeight="1">
      <x:c r="A18" s="254" t="str">
        <x:v>E1-AN-RR</x:v>
      </x:c>
      <x:c r="B18" s="254" t="str">
        <x:v>E1</x:v>
      </x:c>
      <x:c r="C18" s="254" t="str">
        <x:v>Elaboration</x:v>
      </x:c>
      <x:c r="D18" s="249" t="n">
        <x:v>46141</x:v>
      </x:c>
      <x:c r="E18" s="249" t="n">
        <x:v>46154</x:v>
      </x:c>
      <x:c r="F18" s="250" t="str">
        <x:v>Уточнение бизнес-правил, границ и приоритетов: проектирование бд и архитектурного базиса по uc3, uc4, uc7 и uc11</x:v>
      </x:c>
      <x:c r="G18" s="248" t="str">
        <x:v>AN</x:v>
      </x:c>
      <x:c r="H18" s="248" t="str">
        <x:v>Рахматулин Р.Б.</x:v>
      </x:c>
      <x:c r="I18" s="251" t="n">
        <x:v>1</x:v>
      </x:c>
      <x:c r="J18" s="251" t="n">
        <x:f>VLOOKUP(G18,'Сводка'!$A$14:$B$18,2,FALSE)</x:f>
        <x:v>1000</x:v>
      </x:c>
      <x:c r="K18" s="251" t="n">
        <x:f>I18*J18</x:f>
        <x:v>1000</x:v>
      </x:c>
      <x:c r="L18" s="250" t="str">
        <x:v>Архитектурные решения по архитектурно значимым UC3, UC4, UC7 и UC11</x:v>
      </x:c>
    </x:row>
    <x:row r="19" ht="39.599998474121094" hidden="0" customHeight="1">
      <x:c r="A19" s="254" t="str">
        <x:v>E1-ARC-RR</x:v>
      </x:c>
      <x:c r="B19" s="254" t="str">
        <x:v>E1</x:v>
      </x:c>
      <x:c r="C19" s="254" t="str">
        <x:v>Elaboration</x:v>
      </x:c>
      <x:c r="D19" s="249" t="n">
        <x:v>46141</x:v>
      </x:c>
      <x:c r="E19" s="249" t="n">
        <x:v>46154</x:v>
      </x:c>
      <x:c r="F19" s="250" t="str">
        <x:v>Проектирование архитектурных решений: проектирование бд и архитектурного базиса по uc3, uc4, uc7 и uc11</x:v>
      </x:c>
      <x:c r="G19" s="248" t="str">
        <x:v>ARC</x:v>
      </x:c>
      <x:c r="H19" s="248" t="str">
        <x:v>Рахматулин Р.Б.</x:v>
      </x:c>
      <x:c r="I19" s="251" t="n">
        <x:v>9</x:v>
      </x:c>
      <x:c r="J19" s="251" t="n">
        <x:f>VLOOKUP(G19,'Сводка'!$A$14:$B$18,2,FALSE)</x:f>
        <x:v>1400</x:v>
      </x:c>
      <x:c r="K19" s="251" t="n">
        <x:f>I19*J19</x:f>
        <x:v>12600</x:v>
      </x:c>
      <x:c r="L19" s="250" t="str">
        <x:v>Архитектурные решения по архитектурно значимым UC3, UC4, UC7 и UC11</x:v>
      </x:c>
    </x:row>
    <x:row r="20" ht="39.599998474121094" hidden="0" customHeight="1">
      <x:c r="A20" s="254" t="str">
        <x:v>E1-AN-ND</x:v>
      </x:c>
      <x:c r="B20" s="254" t="str">
        <x:v>E1</x:v>
      </x:c>
      <x:c r="C20" s="254" t="str">
        <x:v>Elaboration</x:v>
      </x:c>
      <x:c r="D20" s="249" t="n">
        <x:v>46141</x:v>
      </x:c>
      <x:c r="E20" s="249" t="n">
        <x:v>46154</x:v>
      </x:c>
      <x:c r="F20" s="250" t="str">
        <x:v>Детализация сценариев, требований и критериев приёмки: проектирование бд и архитектурного базиса по uc3, uc4, uc7 и uc11</x:v>
      </x:c>
      <x:c r="G20" s="248" t="str">
        <x:v>AN</x:v>
      </x:c>
      <x:c r="H20" s="248" t="str">
        <x:v>Дементьев Н.А.</x:v>
      </x:c>
      <x:c r="I20" s="251" t="n">
        <x:v>4</x:v>
      </x:c>
      <x:c r="J20" s="251" t="n">
        <x:f>VLOOKUP(G20,'Сводка'!$A$14:$B$18,2,FALSE)</x:f>
        <x:v>1000</x:v>
      </x:c>
      <x:c r="K20" s="251" t="n">
        <x:f>I20*J20</x:f>
        <x:v>4000</x:v>
      </x:c>
      <x:c r="L20" s="250" t="str">
        <x:v>Архитектурные решения по архитектурно значимым UC3, UC4, UC7 и UC11</x:v>
      </x:c>
    </x:row>
    <x:row r="21" ht="39.599998474121094" hidden="0" customHeight="1">
      <x:c r="A21" s="254" t="str">
        <x:v>E1-DEV-ND</x:v>
      </x:c>
      <x:c r="B21" s="254" t="str">
        <x:v>E1</x:v>
      </x:c>
      <x:c r="C21" s="254" t="str">
        <x:v>Elaboration</x:v>
      </x:c>
      <x:c r="D21" s="249" t="n">
        <x:v>46141</x:v>
      </x:c>
      <x:c r="E21" s="249" t="n">
        <x:v>46154</x:v>
      </x:c>
      <x:c r="F21" s="250" t="str">
        <x:v>Реализация клиентской и прикладной части: проектирование бд и архитектурного базиса по uc3, uc4, uc7 и uc11</x:v>
      </x:c>
      <x:c r="G21" s="248" t="str">
        <x:v>DEV</x:v>
      </x:c>
      <x:c r="H21" s="248" t="str">
        <x:v>Дементьев Н.А.</x:v>
      </x:c>
      <x:c r="I21" s="251" t="n">
        <x:v>6</x:v>
      </x:c>
      <x:c r="J21" s="251" t="n">
        <x:f>VLOOKUP(G21,'Сводка'!$A$14:$B$18,2,FALSE)</x:f>
        <x:v>1100</x:v>
      </x:c>
      <x:c r="K21" s="251" t="n">
        <x:f>I21*J21</x:f>
        <x:v>6600</x:v>
      </x:c>
      <x:c r="L21" s="250" t="str">
        <x:v>Архитектурные решения по архитектурно значимым UC3, UC4, UC7 и UC11</x:v>
      </x:c>
    </x:row>
    <x:row r="22" ht="39.599998474121094" hidden="0" customHeight="1">
      <x:c r="A22" s="254" t="str">
        <x:v>E1-QA-ND</x:v>
      </x:c>
      <x:c r="B22" s="254" t="str">
        <x:v>E1</x:v>
      </x:c>
      <x:c r="C22" s="254" t="str">
        <x:v>Elaboration</x:v>
      </x:c>
      <x:c r="D22" s="249" t="n">
        <x:v>46141</x:v>
      </x:c>
      <x:c r="E22" s="249" t="n">
        <x:v>46154</x:v>
      </x:c>
      <x:c r="F22" s="250" t="str">
        <x:v>Подготовка и выполнение проверок: проектирование бд и архитектурного базиса по uc3, uc4, uc7 и uc11</x:v>
      </x:c>
      <x:c r="G22" s="248" t="str">
        <x:v>QA</x:v>
      </x:c>
      <x:c r="H22" s="248" t="str">
        <x:v>Дементьев Н.А.</x:v>
      </x:c>
      <x:c r="I22" s="251" t="n">
        <x:v>2</x:v>
      </x:c>
      <x:c r="J22" s="251" t="n">
        <x:f>VLOOKUP(G22,'Сводка'!$A$14:$B$18,2,FALSE)</x:f>
        <x:v>900</x:v>
      </x:c>
      <x:c r="K22" s="251" t="n">
        <x:f>I22*J22</x:f>
        <x:v>1800</x:v>
      </x:c>
      <x:c r="L22" s="250" t="str">
        <x:v>Архитектурные решения по архитектурно значимым UC3, UC4, UC7 и UC11</x:v>
      </x:c>
    </x:row>
    <x:row r="23" ht="39.599998474121094" hidden="0" customHeight="1">
      <x:c r="A23" s="254" t="str">
        <x:v>E2-PM-RR</x:v>
      </x:c>
      <x:c r="B23" s="254" t="str">
        <x:v>E2</x:v>
      </x:c>
      <x:c r="C23" s="254" t="str">
        <x:v>Elaboration</x:v>
      </x:c>
      <x:c r="D23" s="249" t="n">
        <x:v>46155</x:v>
      </x:c>
      <x:c r="E23" s="249" t="n">
        <x:v>46168</x:v>
      </x:c>
      <x:c r="F23" s="250" t="str">
        <x:v>Планирование, контроль и согласование работ: настройка helios и postgresql, исполняемый архитектурный прототип uc3</x:v>
      </x:c>
      <x:c r="G23" s="248" t="str">
        <x:v>PM</x:v>
      </x:c>
      <x:c r="H23" s="248" t="str">
        <x:v>Рахматулин Р.Б.</x:v>
      </x:c>
      <x:c r="I23" s="251" t="n">
        <x:v>2</x:v>
      </x:c>
      <x:c r="J23" s="251" t="n">
        <x:f>VLOOKUP(G23,'Сводка'!$A$14:$B$18,2,FALSE)</x:f>
        <x:v>1500</x:v>
      </x:c>
      <x:c r="K23" s="251" t="n">
        <x:f>I23*J23</x:f>
        <x:v>3000</x:v>
      </x:c>
      <x:c r="L23" s="250" t="str">
        <x:v>Исполняемый архитектурный прототип UC3 на Helios</x:v>
      </x:c>
    </x:row>
    <x:row r="24" ht="39.599998474121094" hidden="0" customHeight="1">
      <x:c r="A24" s="254" t="str">
        <x:v>E2-AN-RR</x:v>
      </x:c>
      <x:c r="B24" s="254" t="str">
        <x:v>E2</x:v>
      </x:c>
      <x:c r="C24" s="254" t="str">
        <x:v>Elaboration</x:v>
      </x:c>
      <x:c r="D24" s="249" t="n">
        <x:v>46155</x:v>
      </x:c>
      <x:c r="E24" s="249" t="n">
        <x:v>46168</x:v>
      </x:c>
      <x:c r="F24" s="250" t="str">
        <x:v>Уточнение бизнес-правил, границ и приоритетов: настройка helios и postgresql, исполняемый архитектурный прототип uc3</x:v>
      </x:c>
      <x:c r="G24" s="248" t="str">
        <x:v>AN</x:v>
      </x:c>
      <x:c r="H24" s="248" t="str">
        <x:v>Рахматулин Р.Б.</x:v>
      </x:c>
      <x:c r="I24" s="251" t="n">
        <x:v>2</x:v>
      </x:c>
      <x:c r="J24" s="251" t="n">
        <x:f>VLOOKUP(G24,'Сводка'!$A$14:$B$18,2,FALSE)</x:f>
        <x:v>1000</x:v>
      </x:c>
      <x:c r="K24" s="251" t="n">
        <x:f>I24*J24</x:f>
        <x:v>2000</x:v>
      </x:c>
      <x:c r="L24" s="250" t="str">
        <x:v>Исполняемый архитектурный прототип UC3 на Helios</x:v>
      </x:c>
    </x:row>
    <x:row r="25" ht="39.599998474121094" hidden="0" customHeight="1">
      <x:c r="A25" s="254" t="str">
        <x:v>E2-ARC-RR</x:v>
      </x:c>
      <x:c r="B25" s="254" t="str">
        <x:v>E2</x:v>
      </x:c>
      <x:c r="C25" s="254" t="str">
        <x:v>Elaboration</x:v>
      </x:c>
      <x:c r="D25" s="249" t="n">
        <x:v>46155</x:v>
      </x:c>
      <x:c r="E25" s="249" t="n">
        <x:v>46168</x:v>
      </x:c>
      <x:c r="F25" s="250" t="str">
        <x:v>Проектирование архитектурных решений: настройка helios и postgresql, исполняемый архитектурный прототип uc3</x:v>
      </x:c>
      <x:c r="G25" s="248" t="str">
        <x:v>ARC</x:v>
      </x:c>
      <x:c r="H25" s="248" t="str">
        <x:v>Рахматулин Р.Б.</x:v>
      </x:c>
      <x:c r="I25" s="251" t="n">
        <x:v>5</x:v>
      </x:c>
      <x:c r="J25" s="251" t="n">
        <x:f>VLOOKUP(G25,'Сводка'!$A$14:$B$18,2,FALSE)</x:f>
        <x:v>1400</x:v>
      </x:c>
      <x:c r="K25" s="251" t="n">
        <x:f>I25*J25</x:f>
        <x:v>7000</x:v>
      </x:c>
      <x:c r="L25" s="250" t="str">
        <x:v>Исполняемый архитектурный прототип UC3 на Helios</x:v>
      </x:c>
    </x:row>
    <x:row r="26" ht="39.599998474121094" hidden="0" customHeight="1">
      <x:c r="A26" s="254" t="str">
        <x:v>E2-DEV-RR</x:v>
      </x:c>
      <x:c r="B26" s="254" t="str">
        <x:v>E2</x:v>
      </x:c>
      <x:c r="C26" s="254" t="str">
        <x:v>Elaboration</x:v>
      </x:c>
      <x:c r="D26" s="249" t="n">
        <x:v>46155</x:v>
      </x:c>
      <x:c r="E26" s="249" t="n">
        <x:v>46168</x:v>
      </x:c>
      <x:c r="F26" s="250" t="str">
        <x:v>Реализация серверной части и интеграций: настройка helios и postgresql, исполняемый архитектурный прототип uc3</x:v>
      </x:c>
      <x:c r="G26" s="248" t="str">
        <x:v>DEV</x:v>
      </x:c>
      <x:c r="H26" s="248" t="str">
        <x:v>Рахматулин Р.Б.</x:v>
      </x:c>
      <x:c r="I26" s="251" t="n">
        <x:v>3</x:v>
      </x:c>
      <x:c r="J26" s="251" t="n">
        <x:f>VLOOKUP(G26,'Сводка'!$A$14:$B$18,2,FALSE)</x:f>
        <x:v>1100</x:v>
      </x:c>
      <x:c r="K26" s="251" t="n">
        <x:f>I26*J26</x:f>
        <x:v>3300</x:v>
      </x:c>
      <x:c r="L26" s="250" t="str">
        <x:v>Исполняемый архитектурный прототип UC3 на Helios</x:v>
      </x:c>
    </x:row>
    <x:row r="27" ht="39.599998474121094" hidden="0" customHeight="1">
      <x:c r="A27" s="254" t="str">
        <x:v>E2-AN-ND</x:v>
      </x:c>
      <x:c r="B27" s="254" t="str">
        <x:v>E2</x:v>
      </x:c>
      <x:c r="C27" s="254" t="str">
        <x:v>Elaboration</x:v>
      </x:c>
      <x:c r="D27" s="249" t="n">
        <x:v>46155</x:v>
      </x:c>
      <x:c r="E27" s="249" t="n">
        <x:v>46168</x:v>
      </x:c>
      <x:c r="F27" s="250" t="str">
        <x:v>Детализация сценариев, требований и критериев приёмки: настройка helios и postgresql, исполняемый архитектурный прототип uc3</x:v>
      </x:c>
      <x:c r="G27" s="248" t="str">
        <x:v>AN</x:v>
      </x:c>
      <x:c r="H27" s="248" t="str">
        <x:v>Дементьев Н.А.</x:v>
      </x:c>
      <x:c r="I27" s="251" t="n">
        <x:v>1</x:v>
      </x:c>
      <x:c r="J27" s="251" t="n">
        <x:f>VLOOKUP(G27,'Сводка'!$A$14:$B$18,2,FALSE)</x:f>
        <x:v>1000</x:v>
      </x:c>
      <x:c r="K27" s="251" t="n">
        <x:f>I27*J27</x:f>
        <x:v>1000</x:v>
      </x:c>
      <x:c r="L27" s="250" t="str">
        <x:v>Исполняемый архитектурный прототип UC3 на Helios</x:v>
      </x:c>
    </x:row>
    <x:row r="28" ht="39.599998474121094" hidden="0" customHeight="1">
      <x:c r="A28" s="254" t="str">
        <x:v>E2-DEV-ND</x:v>
      </x:c>
      <x:c r="B28" s="254" t="str">
        <x:v>E2</x:v>
      </x:c>
      <x:c r="C28" s="254" t="str">
        <x:v>Elaboration</x:v>
      </x:c>
      <x:c r="D28" s="249" t="n">
        <x:v>46155</x:v>
      </x:c>
      <x:c r="E28" s="249" t="n">
        <x:v>46168</x:v>
      </x:c>
      <x:c r="F28" s="250" t="str">
        <x:v>Реализация клиентской и прикладной части: настройка helios и postgresql, исполняемый архитектурный прототип uc3</x:v>
      </x:c>
      <x:c r="G28" s="248" t="str">
        <x:v>DEV</x:v>
      </x:c>
      <x:c r="H28" s="248" t="str">
        <x:v>Дементьев Н.А.</x:v>
      </x:c>
      <x:c r="I28" s="251" t="n">
        <x:v>7</x:v>
      </x:c>
      <x:c r="J28" s="251" t="n">
        <x:f>VLOOKUP(G28,'Сводка'!$A$14:$B$18,2,FALSE)</x:f>
        <x:v>1100</x:v>
      </x:c>
      <x:c r="K28" s="251" t="n">
        <x:f>I28*J28</x:f>
        <x:v>7700</x:v>
      </x:c>
      <x:c r="L28" s="250" t="str">
        <x:v>Исполняемый архитектурный прототип UC3 на Helios</x:v>
      </x:c>
    </x:row>
    <x:row r="29" ht="39.599998474121094" hidden="0" customHeight="1">
      <x:c r="A29" s="254" t="str">
        <x:v>E2-QA-ND</x:v>
      </x:c>
      <x:c r="B29" s="254" t="str">
        <x:v>E2</x:v>
      </x:c>
      <x:c r="C29" s="254" t="str">
        <x:v>Elaboration</x:v>
      </x:c>
      <x:c r="D29" s="249" t="n">
        <x:v>46155</x:v>
      </x:c>
      <x:c r="E29" s="249" t="n">
        <x:v>46168</x:v>
      </x:c>
      <x:c r="F29" s="250" t="str">
        <x:v>Подготовка и выполнение проверок: настройка helios и postgresql, исполняемый архитектурный прототип uc3</x:v>
      </x:c>
      <x:c r="G29" s="248" t="str">
        <x:v>QA</x:v>
      </x:c>
      <x:c r="H29" s="248" t="str">
        <x:v>Дементьев Н.А.</x:v>
      </x:c>
      <x:c r="I29" s="251" t="n">
        <x:v>4</x:v>
      </x:c>
      <x:c r="J29" s="251" t="n">
        <x:f>VLOOKUP(G29,'Сводка'!$A$14:$B$18,2,FALSE)</x:f>
        <x:v>900</x:v>
      </x:c>
      <x:c r="K29" s="251" t="n">
        <x:f>I29*J29</x:f>
        <x:v>3600</x:v>
      </x:c>
      <x:c r="L29" s="250" t="str">
        <x:v>Исполняемый архитектурный прототип UC3 на Helios</x:v>
      </x:c>
    </x:row>
    <x:row r="30" ht="26.399999618530273" hidden="0" customHeight="1">
      <x:c r="A30" s="256" t="str">
        <x:v>C1.1-PM-RR</x:v>
      </x:c>
      <x:c r="B30" s="256" t="str">
        <x:v>C1.1</x:v>
      </x:c>
      <x:c r="C30" s="256" t="str">
        <x:v>Construction</x:v>
      </x:c>
      <x:c r="D30" s="455" t="n">
        <x:v>46169</x:v>
      </x:c>
      <x:c r="E30" s="455" t="n">
        <x:v>46182</x:v>
      </x:c>
      <x:c r="F30" s="258" t="str">
        <x:v>Планирование, контроль и согласование работ: реализация базовых операций с походами и складом (UC1, UC2 и UC9)</x:v>
      </x:c>
      <x:c r="G30" s="259" t="str">
        <x:v>PM</x:v>
      </x:c>
      <x:c r="H30" s="259" t="str">
        <x:v>Рахматулин Р.Б.</x:v>
      </x:c>
      <x:c r="I30" s="260" t="n">
        <x:v>1</x:v>
      </x:c>
      <x:c r="J30" s="260" t="n">
        <x:f>VLOOKUP(G30,'Сводка'!$A$14:$B$18,2,FALSE)</x:f>
        <x:v>1500</x:v>
      </x:c>
      <x:c r="K30" s="260" t="n">
        <x:f>I30*J30</x:f>
        <x:v>1500</x:v>
      </x:c>
      <x:c r="L30" s="258" t="str">
        <x:v>Работающий модуль управления походами и ресурсами</x:v>
      </x:c>
    </x:row>
    <x:row r="31" ht="26.399999618530273" hidden="0" customHeight="1">
      <x:c r="A31" s="254" t="str">
        <x:v>C1.1-AN-RR</x:v>
      </x:c>
      <x:c r="B31" s="254" t="str">
        <x:v>C1.1</x:v>
      </x:c>
      <x:c r="C31" s="254" t="str">
        <x:v>Construction</x:v>
      </x:c>
      <x:c r="D31" s="249" t="n">
        <x:v>46169</x:v>
      </x:c>
      <x:c r="E31" s="249" t="n">
        <x:v>46182</x:v>
      </x:c>
      <x:c r="F31" s="250" t="str">
        <x:v>Уточнение бизнес-правил, границ и приоритетов: реализация базовых операций с походами и складом (UC1, UC2 и UC9)</x:v>
      </x:c>
      <x:c r="G31" s="248" t="str">
        <x:v>AN</x:v>
      </x:c>
      <x:c r="H31" s="248" t="str">
        <x:v>Рахматулин Р.Б.</x:v>
      </x:c>
      <x:c r="I31" s="251" t="n">
        <x:v>1</x:v>
      </x:c>
      <x:c r="J31" s="251" t="n">
        <x:f>VLOOKUP(G31,'Сводка'!$A$14:$B$18,2,FALSE)</x:f>
        <x:v>1000</x:v>
      </x:c>
      <x:c r="K31" s="251" t="n">
        <x:f>I31*J31</x:f>
        <x:v>1000</x:v>
      </x:c>
      <x:c r="L31" s="250" t="str">
        <x:v>Работающий модуль управления походами и ресурсами</x:v>
      </x:c>
    </x:row>
    <x:row r="32" ht="26.399999618530273" hidden="0" customHeight="1">
      <x:c r="A32" s="254" t="str">
        <x:v>C1.1-ARC-RR</x:v>
      </x:c>
      <x:c r="B32" s="254" t="str">
        <x:v>C1.1</x:v>
      </x:c>
      <x:c r="C32" s="254" t="str">
        <x:v>Construction</x:v>
      </x:c>
      <x:c r="D32" s="249" t="n">
        <x:v>46169</x:v>
      </x:c>
      <x:c r="E32" s="249" t="n">
        <x:v>46182</x:v>
      </x:c>
      <x:c r="F32" s="250" t="str">
        <x:v>Проектирование архитектурных решений: реализация базовых операций с походами и складом (UC1, UC2 и UC9)</x:v>
      </x:c>
      <x:c r="G32" s="248" t="str">
        <x:v>ARC</x:v>
      </x:c>
      <x:c r="H32" s="248" t="str">
        <x:v>Рахматулин Р.Б.</x:v>
      </x:c>
      <x:c r="I32" s="251" t="n">
        <x:v>2</x:v>
      </x:c>
      <x:c r="J32" s="251" t="n">
        <x:f>VLOOKUP(G32,'Сводка'!$A$14:$B$18,2,FALSE)</x:f>
        <x:v>1400</x:v>
      </x:c>
      <x:c r="K32" s="251" t="n">
        <x:f>I32*J32</x:f>
        <x:v>2800</x:v>
      </x:c>
      <x:c r="L32" s="250" t="str">
        <x:v>Работающий модуль управления походами и ресурсами</x:v>
      </x:c>
    </x:row>
    <x:row r="33" ht="26.399999618530273" hidden="0" customHeight="1">
      <x:c r="A33" s="254" t="str">
        <x:v>C1.1-DEV-RR</x:v>
      </x:c>
      <x:c r="B33" s="254" t="str">
        <x:v>C1.1</x:v>
      </x:c>
      <x:c r="C33" s="254" t="str">
        <x:v>Construction</x:v>
      </x:c>
      <x:c r="D33" s="249" t="n">
        <x:v>46169</x:v>
      </x:c>
      <x:c r="E33" s="249" t="n">
        <x:v>46182</x:v>
      </x:c>
      <x:c r="F33" s="250" t="str">
        <x:v>Реализация серверной части и интеграций: реализация базовых операций с походами и складом (UC1, UC2 и UC9)</x:v>
      </x:c>
      <x:c r="G33" s="248" t="str">
        <x:v>DEV</x:v>
      </x:c>
      <x:c r="H33" s="248" t="str">
        <x:v>Рахматулин Р.Б.</x:v>
      </x:c>
      <x:c r="I33" s="251" t="n">
        <x:v>7</x:v>
      </x:c>
      <x:c r="J33" s="251" t="n">
        <x:f>VLOOKUP(G33,'Сводка'!$A$14:$B$18,2,FALSE)</x:f>
        <x:v>1100</x:v>
      </x:c>
      <x:c r="K33" s="251" t="n">
        <x:f>I33*J33</x:f>
        <x:v>7700</x:v>
      </x:c>
      <x:c r="L33" s="250" t="str">
        <x:v>Работающий модуль управления походами и ресурсами</x:v>
      </x:c>
    </x:row>
    <x:row r="34" ht="26.399999618530273" hidden="0" customHeight="1">
      <x:c r="A34" s="254" t="str">
        <x:v>C1.1-DEV-ND</x:v>
      </x:c>
      <x:c r="B34" s="254" t="str">
        <x:v>C1.1</x:v>
      </x:c>
      <x:c r="C34" s="254" t="str">
        <x:v>Construction</x:v>
      </x:c>
      <x:c r="D34" s="249" t="n">
        <x:v>46169</x:v>
      </x:c>
      <x:c r="E34" s="249" t="n">
        <x:v>46182</x:v>
      </x:c>
      <x:c r="F34" s="250" t="str">
        <x:v>Реализация клиентской и прикладной части: реализация базовых операций с походами и складом (UC1, UC2 и UC9)</x:v>
      </x:c>
      <x:c r="G34" s="248" t="str">
        <x:v>DEV</x:v>
      </x:c>
      <x:c r="H34" s="248" t="str">
        <x:v>Дементьев Н.А.</x:v>
      </x:c>
      <x:c r="I34" s="251" t="n">
        <x:v>7</x:v>
      </x:c>
      <x:c r="J34" s="251" t="n">
        <x:f>VLOOKUP(G34,'Сводка'!$A$14:$B$18,2,FALSE)</x:f>
        <x:v>1100</x:v>
      </x:c>
      <x:c r="K34" s="251" t="n">
        <x:f>I34*J34</x:f>
        <x:v>7700</x:v>
      </x:c>
      <x:c r="L34" s="250" t="str">
        <x:v>Работающий модуль управления походами и ресурсами</x:v>
      </x:c>
    </x:row>
    <x:row r="35" ht="26.399999618530273" hidden="0" customHeight="1">
      <x:c r="A35" s="254" t="str">
        <x:v>C1.1-QA-ND</x:v>
      </x:c>
      <x:c r="B35" s="254" t="str">
        <x:v>C1.1</x:v>
      </x:c>
      <x:c r="C35" s="254" t="str">
        <x:v>Construction</x:v>
      </x:c>
      <x:c r="D35" s="249" t="n">
        <x:v>46169</x:v>
      </x:c>
      <x:c r="E35" s="249" t="n">
        <x:v>46182</x:v>
      </x:c>
      <x:c r="F35" s="250" t="str">
        <x:v>Подготовка и выполнение проверок: реализация базовых операций с походами и складом (UC1, UC2 и UC9)</x:v>
      </x:c>
      <x:c r="G35" s="248" t="str">
        <x:v>QA</x:v>
      </x:c>
      <x:c r="H35" s="248" t="str">
        <x:v>Дементьев Н.А.</x:v>
      </x:c>
      <x:c r="I35" s="251" t="n">
        <x:v>3</x:v>
      </x:c>
      <x:c r="J35" s="251" t="n">
        <x:f>VLOOKUP(G35,'Сводка'!$A$14:$B$18,2,FALSE)</x:f>
        <x:v>900</x:v>
      </x:c>
      <x:c r="K35" s="251" t="n">
        <x:f>I35*J35</x:f>
        <x:v>2700</x:v>
      </x:c>
      <x:c r="L35" s="250" t="str">
        <x:v>Работающий модуль управления походами и ресурсами</x:v>
      </x:c>
    </x:row>
    <x:row r="36" ht="39.599998474121094" hidden="0" customHeight="1">
      <x:c r="A36" s="254" t="str">
        <x:v>C1.2-PM-RR</x:v>
      </x:c>
      <x:c r="B36" s="254" t="str">
        <x:v>C1.2</x:v>
      </x:c>
      <x:c r="C36" s="254" t="str">
        <x:v>Construction</x:v>
      </x:c>
      <x:c r="D36" s="249" t="n">
        <x:v>46183</x:v>
      </x:c>
      <x:c r="E36" s="249" t="n">
        <x:v>46196</x:v>
      </x:c>
      <x:c r="F36" s="250" t="str">
        <x:v>Планирование, контроль и согласование работ: реализация uc11 и uc12: верфь, блот и модель состояний корабля</x:v>
      </x:c>
      <x:c r="G36" s="248" t="str">
        <x:v>PM</x:v>
      </x:c>
      <x:c r="H36" s="248" t="str">
        <x:v>Рахматулин Р.Б.</x:v>
      </x:c>
      <x:c r="I36" s="251" t="n">
        <x:v>1</x:v>
      </x:c>
      <x:c r="J36" s="251" t="n">
        <x:f>VLOOKUP(G36,'Сводка'!$A$14:$B$18,2,FALSE)</x:f>
        <x:v>1500</x:v>
      </x:c>
      <x:c r="K36" s="251" t="n">
        <x:f>I36*J36</x:f>
        <x:v>1500</x:v>
      </x:c>
      <x:c r="L36" s="250" t="str">
        <x:v>Работающий модуль верфи; v0.2-alpha</x:v>
      </x:c>
    </x:row>
    <x:row r="37" ht="39.599998474121094" hidden="0" customHeight="1">
      <x:c r="A37" s="254" t="str">
        <x:v>C1.2-ARC-RR</x:v>
      </x:c>
      <x:c r="B37" s="254" t="str">
        <x:v>C1.2</x:v>
      </x:c>
      <x:c r="C37" s="254" t="str">
        <x:v>Construction</x:v>
      </x:c>
      <x:c r="D37" s="249" t="n">
        <x:v>46183</x:v>
      </x:c>
      <x:c r="E37" s="249" t="n">
        <x:v>46196</x:v>
      </x:c>
      <x:c r="F37" s="250" t="str">
        <x:v>Проектирование архитектурных решений: реализация uc11 и uc12: верфь, блот и модель состояний корабля</x:v>
      </x:c>
      <x:c r="G37" s="248" t="str">
        <x:v>ARC</x:v>
      </x:c>
      <x:c r="H37" s="248" t="str">
        <x:v>Рахматулин Р.Б.</x:v>
      </x:c>
      <x:c r="I37" s="251" t="n">
        <x:v>2</x:v>
      </x:c>
      <x:c r="J37" s="251" t="n">
        <x:f>VLOOKUP(G37,'Сводка'!$A$14:$B$18,2,FALSE)</x:f>
        <x:v>1400</x:v>
      </x:c>
      <x:c r="K37" s="251" t="n">
        <x:f>I37*J37</x:f>
        <x:v>2800</x:v>
      </x:c>
      <x:c r="L37" s="250" t="str">
        <x:v>Работающий модуль верфи; v0.2-alpha</x:v>
      </x:c>
    </x:row>
    <x:row r="38" ht="39.599998474121094" hidden="0" customHeight="1">
      <x:c r="A38" s="254" t="str">
        <x:v>C1.2-DEV-RR</x:v>
      </x:c>
      <x:c r="B38" s="254" t="str">
        <x:v>C1.2</x:v>
      </x:c>
      <x:c r="C38" s="254" t="str">
        <x:v>Construction</x:v>
      </x:c>
      <x:c r="D38" s="249" t="n">
        <x:v>46183</x:v>
      </x:c>
      <x:c r="E38" s="249" t="n">
        <x:v>46196</x:v>
      </x:c>
      <x:c r="F38" s="250" t="str">
        <x:v>Реализация серверной части и интеграций: реализация uc11 и uc12: верфь, блот и модель состояний корабля</x:v>
      </x:c>
      <x:c r="G38" s="248" t="str">
        <x:v>DEV</x:v>
      </x:c>
      <x:c r="H38" s="248" t="str">
        <x:v>Рахматулин Р.Б.</x:v>
      </x:c>
      <x:c r="I38" s="251" t="n">
        <x:v>7</x:v>
      </x:c>
      <x:c r="J38" s="251" t="n">
        <x:f>VLOOKUP(G38,'Сводка'!$A$14:$B$18,2,FALSE)</x:f>
        <x:v>1100</x:v>
      </x:c>
      <x:c r="K38" s="251" t="n">
        <x:f>I38*J38</x:f>
        <x:v>7700</x:v>
      </x:c>
      <x:c r="L38" s="250" t="str">
        <x:v>Работающий модуль верфи; v0.2-alpha</x:v>
      </x:c>
    </x:row>
    <x:row r="39" ht="39.599998474121094" hidden="0" customHeight="1">
      <x:c r="A39" s="254" t="str">
        <x:v>C1.2-DEV-ND</x:v>
      </x:c>
      <x:c r="B39" s="254" t="str">
        <x:v>C1.2</x:v>
      </x:c>
      <x:c r="C39" s="254" t="str">
        <x:v>Construction</x:v>
      </x:c>
      <x:c r="D39" s="249" t="n">
        <x:v>46183</x:v>
      </x:c>
      <x:c r="E39" s="249" t="n">
        <x:v>46196</x:v>
      </x:c>
      <x:c r="F39" s="250" t="str">
        <x:v>Реализация клиентской и прикладной части: реализация uc11 и uc12: верфь, блот и модель состояний корабля</x:v>
      </x:c>
      <x:c r="G39" s="248" t="str">
        <x:v>DEV</x:v>
      </x:c>
      <x:c r="H39" s="248" t="str">
        <x:v>Дементьев Н.А.</x:v>
      </x:c>
      <x:c r="I39" s="251" t="n">
        <x:v>7</x:v>
      </x:c>
      <x:c r="J39" s="251" t="n">
        <x:f>VLOOKUP(G39,'Сводка'!$A$14:$B$18,2,FALSE)</x:f>
        <x:v>1100</x:v>
      </x:c>
      <x:c r="K39" s="251" t="n">
        <x:f>I39*J39</x:f>
        <x:v>7700</x:v>
      </x:c>
      <x:c r="L39" s="250" t="str">
        <x:v>Работающий модуль верфи; v0.2-alpha</x:v>
      </x:c>
    </x:row>
    <x:row r="40" ht="39.599998474121094" hidden="0" customHeight="1">
      <x:c r="A40" s="254" t="str">
        <x:v>C1.2-QA-ND</x:v>
      </x:c>
      <x:c r="B40" s="254" t="str">
        <x:v>C1.2</x:v>
      </x:c>
      <x:c r="C40" s="254" t="str">
        <x:v>Construction</x:v>
      </x:c>
      <x:c r="D40" s="249" t="n">
        <x:v>46183</x:v>
      </x:c>
      <x:c r="E40" s="249" t="n">
        <x:v>46196</x:v>
      </x:c>
      <x:c r="F40" s="250" t="str">
        <x:v>Подготовка и выполнение проверок: реализация uc11 и uc12: верфь, блот и модель состояний корабля</x:v>
      </x:c>
      <x:c r="G40" s="248" t="str">
        <x:v>QA</x:v>
      </x:c>
      <x:c r="H40" s="248" t="str">
        <x:v>Дементьев Н.А.</x:v>
      </x:c>
      <x:c r="I40" s="251" t="n">
        <x:v>4</x:v>
      </x:c>
      <x:c r="J40" s="251" t="n">
        <x:f>VLOOKUP(G40,'Сводка'!$A$14:$B$18,2,FALSE)</x:f>
        <x:v>900</x:v>
      </x:c>
      <x:c r="K40" s="251" t="n">
        <x:f>I40*J40</x:f>
        <x:v>3600</x:v>
      </x:c>
      <x:c r="L40" s="250" t="str">
        <x:v>Работающий модуль верфи; v0.2-alpha</x:v>
      </x:c>
    </x:row>
    <x:row r="41" ht="39.599998474121094" hidden="0" customHeight="1">
      <x:c r="A41" s="254" t="str">
        <x:v>C2.1-PM-RR</x:v>
      </x:c>
      <x:c r="B41" s="254" t="str">
        <x:v>C2.1</x:v>
      </x:c>
      <x:c r="C41" s="254" t="str">
        <x:v>Construction</x:v>
      </x:c>
      <x:c r="D41" s="249" t="n">
        <x:v>46266</x:v>
      </x:c>
      <x:c r="E41" s="249" t="n">
        <x:v>46279</x:v>
      </x:c>
      <x:c r="F41" s="250" t="str">
        <x:v>Планирование, контроль и согласование работ: реализация uc6: формирование команды и проверка занятости жителей</x:v>
      </x:c>
      <x:c r="G41" s="248" t="str">
        <x:v>PM</x:v>
      </x:c>
      <x:c r="H41" s="248" t="str">
        <x:v>Рахматулин Р.Б.</x:v>
      </x:c>
      <x:c r="I41" s="251" t="n">
        <x:v>1</x:v>
      </x:c>
      <x:c r="J41" s="251" t="n">
        <x:f>VLOOKUP(G41,'Сводка'!$A$14:$B$18,2,FALSE)</x:f>
        <x:v>1500</x:v>
      </x:c>
      <x:c r="K41" s="251" t="n">
        <x:f>I41*J41</x:f>
        <x:v>1500</x:v>
      </x:c>
      <x:c r="L41" s="250" t="str">
        <x:v>Работающий модуль формирования команды</x:v>
      </x:c>
    </x:row>
    <x:row r="42" ht="39.599998474121094" hidden="0" customHeight="1">
      <x:c r="A42" s="254" t="str">
        <x:v>C2.1-AN-RR</x:v>
      </x:c>
      <x:c r="B42" s="254" t="str">
        <x:v>C2.1</x:v>
      </x:c>
      <x:c r="C42" s="254" t="str">
        <x:v>Construction</x:v>
      </x:c>
      <x:c r="D42" s="249" t="n">
        <x:v>46266</x:v>
      </x:c>
      <x:c r="E42" s="249" t="n">
        <x:v>46279</x:v>
      </x:c>
      <x:c r="F42" s="250" t="str">
        <x:v>Уточнение бизнес-правил, границ и приоритетов: реализация uc6: формирование команды и проверка занятости жителей</x:v>
      </x:c>
      <x:c r="G42" s="248" t="str">
        <x:v>AN</x:v>
      </x:c>
      <x:c r="H42" s="248" t="str">
        <x:v>Рахматулин Р.Б.</x:v>
      </x:c>
      <x:c r="I42" s="251" t="n">
        <x:v>1</x:v>
      </x:c>
      <x:c r="J42" s="251" t="n">
        <x:f>VLOOKUP(G42,'Сводка'!$A$14:$B$18,2,FALSE)</x:f>
        <x:v>1000</x:v>
      </x:c>
      <x:c r="K42" s="251" t="n">
        <x:f>I42*J42</x:f>
        <x:v>1000</x:v>
      </x:c>
      <x:c r="L42" s="250" t="str">
        <x:v>Работающий модуль формирования команды</x:v>
      </x:c>
    </x:row>
    <x:row r="43" ht="39.599998474121094" hidden="0" customHeight="1">
      <x:c r="A43" s="254" t="str">
        <x:v>C2.1-ARC-RR</x:v>
      </x:c>
      <x:c r="B43" s="254" t="str">
        <x:v>C2.1</x:v>
      </x:c>
      <x:c r="C43" s="254" t="str">
        <x:v>Construction</x:v>
      </x:c>
      <x:c r="D43" s="249" t="n">
        <x:v>46266</x:v>
      </x:c>
      <x:c r="E43" s="249" t="n">
        <x:v>46279</x:v>
      </x:c>
      <x:c r="F43" s="250" t="str">
        <x:v>Проектирование архитектурных решений: реализация uc6: формирование команды и проверка занятости жителей</x:v>
      </x:c>
      <x:c r="G43" s="248" t="str">
        <x:v>ARC</x:v>
      </x:c>
      <x:c r="H43" s="248" t="str">
        <x:v>Рахматулин Р.Б.</x:v>
      </x:c>
      <x:c r="I43" s="251" t="n">
        <x:v>2</x:v>
      </x:c>
      <x:c r="J43" s="251" t="n">
        <x:f>VLOOKUP(G43,'Сводка'!$A$14:$B$18,2,FALSE)</x:f>
        <x:v>1400</x:v>
      </x:c>
      <x:c r="K43" s="251" t="n">
        <x:f>I43*J43</x:f>
        <x:v>2800</x:v>
      </x:c>
      <x:c r="L43" s="250" t="str">
        <x:v>Работающий модуль формирования команды</x:v>
      </x:c>
    </x:row>
    <x:row r="44" ht="39.599998474121094" hidden="0" customHeight="1">
      <x:c r="A44" s="254" t="str">
        <x:v>C2.1-DEV-RR</x:v>
      </x:c>
      <x:c r="B44" s="254" t="str">
        <x:v>C2.1</x:v>
      </x:c>
      <x:c r="C44" s="254" t="str">
        <x:v>Construction</x:v>
      </x:c>
      <x:c r="D44" s="249" t="n">
        <x:v>46266</x:v>
      </x:c>
      <x:c r="E44" s="249" t="n">
        <x:v>46279</x:v>
      </x:c>
      <x:c r="F44" s="250" t="str">
        <x:v>Реализация серверной части и интеграций: реализация uc6: формирование команды и проверка занятости жителей</x:v>
      </x:c>
      <x:c r="G44" s="248" t="str">
        <x:v>DEV</x:v>
      </x:c>
      <x:c r="H44" s="248" t="str">
        <x:v>Рахматулин Р.Б.</x:v>
      </x:c>
      <x:c r="I44" s="251" t="n">
        <x:v>7</x:v>
      </x:c>
      <x:c r="J44" s="251" t="n">
        <x:f>VLOOKUP(G44,'Сводка'!$A$14:$B$18,2,FALSE)</x:f>
        <x:v>1100</x:v>
      </x:c>
      <x:c r="K44" s="251" t="n">
        <x:f>I44*J44</x:f>
        <x:v>7700</x:v>
      </x:c>
      <x:c r="L44" s="250" t="str">
        <x:v>Работающий модуль формирования команды</x:v>
      </x:c>
    </x:row>
    <x:row r="45" ht="39.599998474121094" hidden="0" customHeight="1">
      <x:c r="A45" s="254" t="str">
        <x:v>C2.1-DEV-ND</x:v>
      </x:c>
      <x:c r="B45" s="254" t="str">
        <x:v>C2.1</x:v>
      </x:c>
      <x:c r="C45" s="254" t="str">
        <x:v>Construction</x:v>
      </x:c>
      <x:c r="D45" s="249" t="n">
        <x:v>46266</x:v>
      </x:c>
      <x:c r="E45" s="249" t="n">
        <x:v>46279</x:v>
      </x:c>
      <x:c r="F45" s="250" t="str">
        <x:v>Реализация клиентской и прикладной части: реализация uc6: формирование команды и проверка занятости жителей</x:v>
      </x:c>
      <x:c r="G45" s="248" t="str">
        <x:v>DEV</x:v>
      </x:c>
      <x:c r="H45" s="248" t="str">
        <x:v>Дементьев Н.А.</x:v>
      </x:c>
      <x:c r="I45" s="251" t="n">
        <x:v>7</x:v>
      </x:c>
      <x:c r="J45" s="251" t="n">
        <x:f>VLOOKUP(G45,'Сводка'!$A$14:$B$18,2,FALSE)</x:f>
        <x:v>1100</x:v>
      </x:c>
      <x:c r="K45" s="251" t="n">
        <x:f>I45*J45</x:f>
        <x:v>7700</x:v>
      </x:c>
      <x:c r="L45" s="250" t="str">
        <x:v>Работающий модуль формирования команды</x:v>
      </x:c>
    </x:row>
    <x:row r="46" ht="39.599998474121094" hidden="0" customHeight="1">
      <x:c r="A46" s="254" t="str">
        <x:v>C2.1-QA-ND</x:v>
      </x:c>
      <x:c r="B46" s="254" t="str">
        <x:v>C2.1</x:v>
      </x:c>
      <x:c r="C46" s="254" t="str">
        <x:v>Construction</x:v>
      </x:c>
      <x:c r="D46" s="249" t="n">
        <x:v>46266</x:v>
      </x:c>
      <x:c r="E46" s="249" t="n">
        <x:v>46279</x:v>
      </x:c>
      <x:c r="F46" s="250" t="str">
        <x:v>Подготовка и выполнение проверок: реализация uc6: формирование команды и проверка занятости жителей</x:v>
      </x:c>
      <x:c r="G46" s="248" t="str">
        <x:v>QA</x:v>
      </x:c>
      <x:c r="H46" s="248" t="str">
        <x:v>Дементьев Н.А.</x:v>
      </x:c>
      <x:c r="I46" s="251" t="n">
        <x:v>3</x:v>
      </x:c>
      <x:c r="J46" s="251" t="n">
        <x:f>VLOOKUP(G46,'Сводка'!$A$14:$B$18,2,FALSE)</x:f>
        <x:v>900</x:v>
      </x:c>
      <x:c r="K46" s="251" t="n">
        <x:f>I46*J46</x:f>
        <x:v>2700</x:v>
      </x:c>
      <x:c r="L46" s="250" t="str">
        <x:v>Работающий модуль формирования команды</x:v>
      </x:c>
    </x:row>
    <x:row r="47" ht="39.599998474121094" hidden="0" customHeight="1">
      <x:c r="A47" s="254" t="str">
        <x:v>C2.2-PM-RR</x:v>
      </x:c>
      <x:c r="B47" s="254" t="str">
        <x:v>C2.2</x:v>
      </x:c>
      <x:c r="C47" s="254" t="str">
        <x:v>Construction</x:v>
      </x:c>
      <x:c r="D47" s="249" t="n">
        <x:v>46280</x:v>
      </x:c>
      <x:c r="E47" s="249" t="n">
        <x:v>46293</x:v>
      </x:c>
      <x:c r="F47" s="250" t="str">
        <x:v>Планирование, контроль и согласование работ: реализация uc7: подтверждение участия и конкурентный доступ</x:v>
      </x:c>
      <x:c r="G47" s="248" t="str">
        <x:v>PM</x:v>
      </x:c>
      <x:c r="H47" s="248" t="str">
        <x:v>Рахматулин Р.Б.</x:v>
      </x:c>
      <x:c r="I47" s="251" t="n">
        <x:v>1</x:v>
      </x:c>
      <x:c r="J47" s="251" t="n">
        <x:f>VLOOKUP(G47,'Сводка'!$A$14:$B$18,2,FALSE)</x:f>
        <x:v>1500</x:v>
      </x:c>
      <x:c r="K47" s="251" t="n">
        <x:f>I47*J47</x:f>
        <x:v>1500</x:v>
      </x:c>
      <x:c r="L47" s="250" t="str">
        <x:v>Работающий модуль подтверждения участия; v0.3-beta</x:v>
      </x:c>
    </x:row>
    <x:row r="48" ht="39.599998474121094" hidden="0" customHeight="1">
      <x:c r="A48" s="254" t="str">
        <x:v>C2.2-AN-RR</x:v>
      </x:c>
      <x:c r="B48" s="254" t="str">
        <x:v>C2.2</x:v>
      </x:c>
      <x:c r="C48" s="254" t="str">
        <x:v>Construction</x:v>
      </x:c>
      <x:c r="D48" s="249" t="n">
        <x:v>46280</x:v>
      </x:c>
      <x:c r="E48" s="249" t="n">
        <x:v>46293</x:v>
      </x:c>
      <x:c r="F48" s="250" t="str">
        <x:v>Уточнение бизнес-правил, границ и приоритетов: реализация uc7: подтверждение участия и конкурентный доступ</x:v>
      </x:c>
      <x:c r="G48" s="248" t="str">
        <x:v>AN</x:v>
      </x:c>
      <x:c r="H48" s="248" t="str">
        <x:v>Рахматулин Р.Б.</x:v>
      </x:c>
      <x:c r="I48" s="251" t="n">
        <x:v>1</x:v>
      </x:c>
      <x:c r="J48" s="251" t="n">
        <x:f>VLOOKUP(G48,'Сводка'!$A$14:$B$18,2,FALSE)</x:f>
        <x:v>1000</x:v>
      </x:c>
      <x:c r="K48" s="251" t="n">
        <x:f>I48*J48</x:f>
        <x:v>1000</x:v>
      </x:c>
      <x:c r="L48" s="250" t="str">
        <x:v>Работающий модуль подтверждения участия; v0.3-beta</x:v>
      </x:c>
    </x:row>
    <x:row r="49" ht="39.599998474121094" hidden="0" customHeight="1">
      <x:c r="A49" s="254" t="str">
        <x:v>C2.2-ARC-RR</x:v>
      </x:c>
      <x:c r="B49" s="254" t="str">
        <x:v>C2.2</x:v>
      </x:c>
      <x:c r="C49" s="254" t="str">
        <x:v>Construction</x:v>
      </x:c>
      <x:c r="D49" s="249" t="n">
        <x:v>46280</x:v>
      </x:c>
      <x:c r="E49" s="249" t="n">
        <x:v>46293</x:v>
      </x:c>
      <x:c r="F49" s="250" t="str">
        <x:v>Проектирование архитектурных решений: реализация uc7: подтверждение участия и конкурентный доступ</x:v>
      </x:c>
      <x:c r="G49" s="248" t="str">
        <x:v>ARC</x:v>
      </x:c>
      <x:c r="H49" s="248" t="str">
        <x:v>Рахматулин Р.Б.</x:v>
      </x:c>
      <x:c r="I49" s="251" t="n">
        <x:v>2</x:v>
      </x:c>
      <x:c r="J49" s="251" t="n">
        <x:f>VLOOKUP(G49,'Сводка'!$A$14:$B$18,2,FALSE)</x:f>
        <x:v>1400</x:v>
      </x:c>
      <x:c r="K49" s="251" t="n">
        <x:f>I49*J49</x:f>
        <x:v>2800</x:v>
      </x:c>
      <x:c r="L49" s="250" t="str">
        <x:v>Работающий модуль подтверждения участия; v0.3-beta</x:v>
      </x:c>
    </x:row>
    <x:row r="50" ht="39.599998474121094" hidden="0" customHeight="1">
      <x:c r="A50" s="254" t="str">
        <x:v>C2.2-DEV-RR</x:v>
      </x:c>
      <x:c r="B50" s="254" t="str">
        <x:v>C2.2</x:v>
      </x:c>
      <x:c r="C50" s="254" t="str">
        <x:v>Construction</x:v>
      </x:c>
      <x:c r="D50" s="249" t="n">
        <x:v>46280</x:v>
      </x:c>
      <x:c r="E50" s="249" t="n">
        <x:v>46293</x:v>
      </x:c>
      <x:c r="F50" s="250" t="str">
        <x:v>Реализация серверной части и интеграций: реализация uc7: подтверждение участия и конкурентный доступ</x:v>
      </x:c>
      <x:c r="G50" s="248" t="str">
        <x:v>DEV</x:v>
      </x:c>
      <x:c r="H50" s="248" t="str">
        <x:v>Рахматулин Р.Б.</x:v>
      </x:c>
      <x:c r="I50" s="251" t="n">
        <x:v>6</x:v>
      </x:c>
      <x:c r="J50" s="251" t="n">
        <x:f>VLOOKUP(G50,'Сводка'!$A$14:$B$18,2,FALSE)</x:f>
        <x:v>1100</x:v>
      </x:c>
      <x:c r="K50" s="251" t="n">
        <x:f>I50*J50</x:f>
        <x:v>6600</x:v>
      </x:c>
      <x:c r="L50" s="250" t="str">
        <x:v>Работающий модуль подтверждения участия; v0.3-beta</x:v>
      </x:c>
    </x:row>
    <x:row r="51" ht="39.599998474121094" hidden="0" customHeight="1">
      <x:c r="A51" s="254" t="str">
        <x:v>C2.2-DEV-ND</x:v>
      </x:c>
      <x:c r="B51" s="254" t="str">
        <x:v>C2.2</x:v>
      </x:c>
      <x:c r="C51" s="254" t="str">
        <x:v>Construction</x:v>
      </x:c>
      <x:c r="D51" s="249" t="n">
        <x:v>46280</x:v>
      </x:c>
      <x:c r="E51" s="249" t="n">
        <x:v>46293</x:v>
      </x:c>
      <x:c r="F51" s="250" t="str">
        <x:v>Реализация клиентской и прикладной части: реализация uc7: подтверждение участия и конкурентный доступ</x:v>
      </x:c>
      <x:c r="G51" s="248" t="str">
        <x:v>DEV</x:v>
      </x:c>
      <x:c r="H51" s="248" t="str">
        <x:v>Дементьев Н.А.</x:v>
      </x:c>
      <x:c r="I51" s="251" t="n">
        <x:v>8</x:v>
      </x:c>
      <x:c r="J51" s="251" t="n">
        <x:f>VLOOKUP(G51,'Сводка'!$A$14:$B$18,2,FALSE)</x:f>
        <x:v>1100</x:v>
      </x:c>
      <x:c r="K51" s="251" t="n">
        <x:f>I51*J51</x:f>
        <x:v>8800</x:v>
      </x:c>
      <x:c r="L51" s="250" t="str">
        <x:v>Работающий модуль подтверждения участия; v0.3-beta</x:v>
      </x:c>
    </x:row>
    <x:row r="52" ht="39.599998474121094" hidden="0" customHeight="1">
      <x:c r="A52" s="254" t="str">
        <x:v>C2.2-QA-ND</x:v>
      </x:c>
      <x:c r="B52" s="254" t="str">
        <x:v>C2.2</x:v>
      </x:c>
      <x:c r="C52" s="254" t="str">
        <x:v>Construction</x:v>
      </x:c>
      <x:c r="D52" s="249" t="n">
        <x:v>46280</x:v>
      </x:c>
      <x:c r="E52" s="249" t="n">
        <x:v>46293</x:v>
      </x:c>
      <x:c r="F52" s="250" t="str">
        <x:v>Подготовка и выполнение проверок: реализация uc7: подтверждение участия и конкурентный доступ</x:v>
      </x:c>
      <x:c r="G52" s="248" t="str">
        <x:v>QA</x:v>
      </x:c>
      <x:c r="H52" s="248" t="str">
        <x:v>Дементьев Н.А.</x:v>
      </x:c>
      <x:c r="I52" s="251" t="n">
        <x:v>3</x:v>
      </x:c>
      <x:c r="J52" s="251" t="n">
        <x:f>VLOOKUP(G52,'Сводка'!$A$14:$B$18,2,FALSE)</x:f>
        <x:v>900</x:v>
      </x:c>
      <x:c r="K52" s="251" t="n">
        <x:f>I52*J52</x:f>
        <x:v>2700</x:v>
      </x:c>
      <x:c r="L52" s="250" t="str">
        <x:v>Работающий модуль подтверждения участия; v0.3-beta</x:v>
      </x:c>
    </x:row>
    <x:row r="53" ht="39.599998474121094" hidden="0" customHeight="1">
      <x:c r="A53" s="254" t="str">
        <x:v>C3.1-PM-RR</x:v>
      </x:c>
      <x:c r="B53" s="254" t="str">
        <x:v>C3.1</x:v>
      </x:c>
      <x:c r="C53" s="254" t="str">
        <x:v>Construction</x:v>
      </x:c>
      <x:c r="D53" s="249" t="n">
        <x:v>46294</x:v>
      </x:c>
      <x:c r="E53" s="249" t="n">
        <x:v>46307</x:v>
      </x:c>
      <x:c r="F53" s="250" t="str">
        <x:v>Планирование, контроль и согласование работ: реализация uc4: фиксация итогов, вергельд и перевод данных в режим только для чтения</x:v>
      </x:c>
      <x:c r="G53" s="248" t="str">
        <x:v>PM</x:v>
      </x:c>
      <x:c r="H53" s="248" t="str">
        <x:v>Рахматулин Р.Б.</x:v>
      </x:c>
      <x:c r="I53" s="251" t="n">
        <x:v>1</x:v>
      </x:c>
      <x:c r="J53" s="251" t="n">
        <x:f>VLOOKUP(G53,'Сводка'!$A$14:$B$18,2,FALSE)</x:f>
        <x:v>1500</x:v>
      </x:c>
      <x:c r="K53" s="251" t="n">
        <x:f>I53*J53</x:f>
        <x:v>1500</x:v>
      </x:c>
      <x:c r="L53" s="250" t="str">
        <x:v>Работающий модуль учёта результатов</x:v>
      </x:c>
    </x:row>
    <x:row r="54" ht="39.599998474121094" hidden="0" customHeight="1">
      <x:c r="A54" s="254" t="str">
        <x:v>C3.1-AN-RR</x:v>
      </x:c>
      <x:c r="B54" s="254" t="str">
        <x:v>C3.1</x:v>
      </x:c>
      <x:c r="C54" s="254" t="str">
        <x:v>Construction</x:v>
      </x:c>
      <x:c r="D54" s="249" t="n">
        <x:v>46294</x:v>
      </x:c>
      <x:c r="E54" s="249" t="n">
        <x:v>46307</x:v>
      </x:c>
      <x:c r="F54" s="250" t="str">
        <x:v>Уточнение бизнес-правил, границ и приоритетов: реализация uc4: фиксация итогов, вергельд и перевод данных в режим только для чтения</x:v>
      </x:c>
      <x:c r="G54" s="248" t="str">
        <x:v>AN</x:v>
      </x:c>
      <x:c r="H54" s="248" t="str">
        <x:v>Рахматулин Р.Б.</x:v>
      </x:c>
      <x:c r="I54" s="251" t="n">
        <x:v>1</x:v>
      </x:c>
      <x:c r="J54" s="251" t="n">
        <x:f>VLOOKUP(G54,'Сводка'!$A$14:$B$18,2,FALSE)</x:f>
        <x:v>1000</x:v>
      </x:c>
      <x:c r="K54" s="251" t="n">
        <x:f>I54*J54</x:f>
        <x:v>1000</x:v>
      </x:c>
      <x:c r="L54" s="250" t="str">
        <x:v>Работающий модуль учёта результатов</x:v>
      </x:c>
    </x:row>
    <x:row r="55" ht="39.599998474121094" hidden="0" customHeight="1">
      <x:c r="A55" s="254" t="str">
        <x:v>C3.1-ARC-RR</x:v>
      </x:c>
      <x:c r="B55" s="254" t="str">
        <x:v>C3.1</x:v>
      </x:c>
      <x:c r="C55" s="254" t="str">
        <x:v>Construction</x:v>
      </x:c>
      <x:c r="D55" s="249" t="n">
        <x:v>46294</x:v>
      </x:c>
      <x:c r="E55" s="249" t="n">
        <x:v>46307</x:v>
      </x:c>
      <x:c r="F55" s="250" t="str">
        <x:v>Проектирование архитектурных решений: реализация uc4: фиксация итогов, вергельд и перевод данных в режим только для чтения</x:v>
      </x:c>
      <x:c r="G55" s="248" t="str">
        <x:v>ARC</x:v>
      </x:c>
      <x:c r="H55" s="248" t="str">
        <x:v>Рахматулин Р.Б.</x:v>
      </x:c>
      <x:c r="I55" s="251" t="n">
        <x:v>2</x:v>
      </x:c>
      <x:c r="J55" s="251" t="n">
        <x:f>VLOOKUP(G55,'Сводка'!$A$14:$B$18,2,FALSE)</x:f>
        <x:v>1400</x:v>
      </x:c>
      <x:c r="K55" s="251" t="n">
        <x:f>I55*J55</x:f>
        <x:v>2800</x:v>
      </x:c>
      <x:c r="L55" s="250" t="str">
        <x:v>Работающий модуль учёта результатов</x:v>
      </x:c>
    </x:row>
    <x:row r="56" ht="39.599998474121094" hidden="0" customHeight="1">
      <x:c r="A56" s="254" t="str">
        <x:v>C3.1-DEV-RR</x:v>
      </x:c>
      <x:c r="B56" s="254" t="str">
        <x:v>C3.1</x:v>
      </x:c>
      <x:c r="C56" s="254" t="str">
        <x:v>Construction</x:v>
      </x:c>
      <x:c r="D56" s="249" t="n">
        <x:v>46294</x:v>
      </x:c>
      <x:c r="E56" s="249" t="n">
        <x:v>46307</x:v>
      </x:c>
      <x:c r="F56" s="250" t="str">
        <x:v>Реализация серверной части и интеграций: реализация uc4: фиксация итогов, вергельд и перевод данных в режим только для чтения</x:v>
      </x:c>
      <x:c r="G56" s="248" t="str">
        <x:v>DEV</x:v>
      </x:c>
      <x:c r="H56" s="248" t="str">
        <x:v>Рахматулин Р.Б.</x:v>
      </x:c>
      <x:c r="I56" s="251" t="n">
        <x:v>7</x:v>
      </x:c>
      <x:c r="J56" s="251" t="n">
        <x:f>VLOOKUP(G56,'Сводка'!$A$14:$B$18,2,FALSE)</x:f>
        <x:v>1100</x:v>
      </x:c>
      <x:c r="K56" s="251" t="n">
        <x:f>I56*J56</x:f>
        <x:v>7700</x:v>
      </x:c>
      <x:c r="L56" s="250" t="str">
        <x:v>Работающий модуль учёта результатов</x:v>
      </x:c>
    </x:row>
    <x:row r="57" ht="39.599998474121094" hidden="0" customHeight="1">
      <x:c r="A57" s="254" t="str">
        <x:v>C3.1-DEV-ND</x:v>
      </x:c>
      <x:c r="B57" s="254" t="str">
        <x:v>C3.1</x:v>
      </x:c>
      <x:c r="C57" s="254" t="str">
        <x:v>Construction</x:v>
      </x:c>
      <x:c r="D57" s="249" t="n">
        <x:v>46294</x:v>
      </x:c>
      <x:c r="E57" s="249" t="n">
        <x:v>46307</x:v>
      </x:c>
      <x:c r="F57" s="250" t="str">
        <x:v>Реализация клиентской и прикладной части: реализация uc4: фиксация итогов, вергельд и перевод данных в режим только для чтения</x:v>
      </x:c>
      <x:c r="G57" s="248" t="str">
        <x:v>DEV</x:v>
      </x:c>
      <x:c r="H57" s="248" t="str">
        <x:v>Дементьев Н.А.</x:v>
      </x:c>
      <x:c r="I57" s="251" t="n">
        <x:v>7</x:v>
      </x:c>
      <x:c r="J57" s="251" t="n">
        <x:f>VLOOKUP(G57,'Сводка'!$A$14:$B$18,2,FALSE)</x:f>
        <x:v>1100</x:v>
      </x:c>
      <x:c r="K57" s="251" t="n">
        <x:f>I57*J57</x:f>
        <x:v>7700</x:v>
      </x:c>
      <x:c r="L57" s="250" t="str">
        <x:v>Работающий модуль учёта результатов</x:v>
      </x:c>
    </x:row>
    <x:row r="58" ht="39.599998474121094" hidden="0" customHeight="1">
      <x:c r="A58" s="254" t="str">
        <x:v>C3.1-QA-ND</x:v>
      </x:c>
      <x:c r="B58" s="254" t="str">
        <x:v>C3.1</x:v>
      </x:c>
      <x:c r="C58" s="254" t="str">
        <x:v>Construction</x:v>
      </x:c>
      <x:c r="D58" s="249" t="n">
        <x:v>46294</x:v>
      </x:c>
      <x:c r="E58" s="249" t="n">
        <x:v>46307</x:v>
      </x:c>
      <x:c r="F58" s="250" t="str">
        <x:v>Подготовка и выполнение проверок: реализация uc4: фиксация итогов, вергельд и перевод данных в режим только для чтения</x:v>
      </x:c>
      <x:c r="G58" s="248" t="str">
        <x:v>QA</x:v>
      </x:c>
      <x:c r="H58" s="248" t="str">
        <x:v>Дементьев Н.А.</x:v>
      </x:c>
      <x:c r="I58" s="251" t="n">
        <x:v>3</x:v>
      </x:c>
      <x:c r="J58" s="251" t="n">
        <x:f>VLOOKUP(G58,'Сводка'!$A$14:$B$18,2,FALSE)</x:f>
        <x:v>900</x:v>
      </x:c>
      <x:c r="K58" s="251" t="n">
        <x:f>I58*J58</x:f>
        <x:v>2700</x:v>
      </x:c>
      <x:c r="L58" s="250" t="str">
        <x:v>Работающий модуль учёта результатов</x:v>
      </x:c>
    </x:row>
    <x:row r="59" ht="39.599998474121094" hidden="0" customHeight="1">
      <x:c r="A59" s="254" t="str">
        <x:v>C3.2-PM-RR</x:v>
      </x:c>
      <x:c r="B59" s="254" t="str">
        <x:v>C3.2</x:v>
      </x:c>
      <x:c r="C59" s="254" t="str">
        <x:v>Construction</x:v>
      </x:c>
      <x:c r="D59" s="249" t="n">
        <x:v>46308</x:v>
      </x:c>
      <x:c r="E59" s="249" t="n">
        <x:v>46321</x:v>
      </x:c>
      <x:c r="F59" s="250" t="str">
        <x:v>Планирование, контроль и согласование работ: финальная интеграция uc3, реализация uc5, uc8 и uc10</x:v>
      </x:c>
      <x:c r="G59" s="248" t="str">
        <x:v>PM</x:v>
      </x:c>
      <x:c r="H59" s="248" t="str">
        <x:v>Рахматулин Р.Б.</x:v>
      </x:c>
      <x:c r="I59" s="251" t="n">
        <x:v>1</x:v>
      </x:c>
      <x:c r="J59" s="251" t="n">
        <x:f>VLOOKUP(G59,'Сводка'!$A$14:$B$18,2,FALSE)</x:f>
        <x:v>1500</x:v>
      </x:c>
      <x:c r="K59" s="251" t="n">
        <x:f>I59*J59</x:f>
        <x:v>1500</x:v>
      </x:c>
      <x:c r="L59" s="250" t="str">
        <x:v>Все обязательные функции первой рабочей версии; сквозной сценарий UC3</x:v>
      </x:c>
    </x:row>
    <x:row r="60" ht="39.599998474121094" hidden="0" customHeight="1">
      <x:c r="A60" s="254" t="str">
        <x:v>C3.2-ARC-RR</x:v>
      </x:c>
      <x:c r="B60" s="254" t="str">
        <x:v>C3.2</x:v>
      </x:c>
      <x:c r="C60" s="254" t="str">
        <x:v>Construction</x:v>
      </x:c>
      <x:c r="D60" s="249" t="n">
        <x:v>46308</x:v>
      </x:c>
      <x:c r="E60" s="249" t="n">
        <x:v>46321</x:v>
      </x:c>
      <x:c r="F60" s="250" t="str">
        <x:v>Проектирование архитектурных решений: финальная интеграция uc3, реализация uc5, uc8 и uc10</x:v>
      </x:c>
      <x:c r="G60" s="248" t="str">
        <x:v>ARC</x:v>
      </x:c>
      <x:c r="H60" s="248" t="str">
        <x:v>Рахматулин Р.Б.</x:v>
      </x:c>
      <x:c r="I60" s="251" t="n">
        <x:v>2</x:v>
      </x:c>
      <x:c r="J60" s="251" t="n">
        <x:f>VLOOKUP(G60,'Сводка'!$A$14:$B$18,2,FALSE)</x:f>
        <x:v>1400</x:v>
      </x:c>
      <x:c r="K60" s="251" t="n">
        <x:f>I60*J60</x:f>
        <x:v>2800</x:v>
      </x:c>
      <x:c r="L60" s="250" t="str">
        <x:v>Все обязательные функции первой рабочей версии; сквозной сценарий UC3</x:v>
      </x:c>
    </x:row>
    <x:row r="61" ht="39.599998474121094" hidden="0" customHeight="1">
      <x:c r="A61" s="254" t="str">
        <x:v>C3.2-DEV-RR</x:v>
      </x:c>
      <x:c r="B61" s="254" t="str">
        <x:v>C3.2</x:v>
      </x:c>
      <x:c r="C61" s="254" t="str">
        <x:v>Construction</x:v>
      </x:c>
      <x:c r="D61" s="249" t="n">
        <x:v>46308</x:v>
      </x:c>
      <x:c r="E61" s="249" t="n">
        <x:v>46321</x:v>
      </x:c>
      <x:c r="F61" s="250" t="str">
        <x:v>Реализация серверной части и интеграций: финальная интеграция uc3, реализация uc5, uc8 и uc10</x:v>
      </x:c>
      <x:c r="G61" s="248" t="str">
        <x:v>DEV</x:v>
      </x:c>
      <x:c r="H61" s="248" t="str">
        <x:v>Рахматулин Р.Б.</x:v>
      </x:c>
      <x:c r="I61" s="251" t="n">
        <x:v>7</x:v>
      </x:c>
      <x:c r="J61" s="251" t="n">
        <x:f>VLOOKUP(G61,'Сводка'!$A$14:$B$18,2,FALSE)</x:f>
        <x:v>1100</x:v>
      </x:c>
      <x:c r="K61" s="251" t="n">
        <x:f>I61*J61</x:f>
        <x:v>7700</x:v>
      </x:c>
      <x:c r="L61" s="250" t="str">
        <x:v>Все обязательные функции первой рабочей версии; сквозной сценарий UC3</x:v>
      </x:c>
    </x:row>
    <x:row r="62" ht="39.599998474121094" hidden="0" customHeight="1">
      <x:c r="A62" s="254" t="str">
        <x:v>C3.2-DEV-ND</x:v>
      </x:c>
      <x:c r="B62" s="254" t="str">
        <x:v>C3.2</x:v>
      </x:c>
      <x:c r="C62" s="254" t="str">
        <x:v>Construction</x:v>
      </x:c>
      <x:c r="D62" s="249" t="n">
        <x:v>46308</x:v>
      </x:c>
      <x:c r="E62" s="249" t="n">
        <x:v>46321</x:v>
      </x:c>
      <x:c r="F62" s="250" t="str">
        <x:v>Реализация клиентской и прикладной части: финальная интеграция uc3, реализация uc5, uc8 и uc10</x:v>
      </x:c>
      <x:c r="G62" s="248" t="str">
        <x:v>DEV</x:v>
      </x:c>
      <x:c r="H62" s="248" t="str">
        <x:v>Дементьев Н.А.</x:v>
      </x:c>
      <x:c r="I62" s="251" t="n">
        <x:v>7</x:v>
      </x:c>
      <x:c r="J62" s="251" t="n">
        <x:f>VLOOKUP(G62,'Сводка'!$A$14:$B$18,2,FALSE)</x:f>
        <x:v>1100</x:v>
      </x:c>
      <x:c r="K62" s="251" t="n">
        <x:f>I62*J62</x:f>
        <x:v>7700</x:v>
      </x:c>
      <x:c r="L62" s="250" t="str">
        <x:v>Все обязательные функции первой рабочей версии; сквозной сценарий UC3</x:v>
      </x:c>
    </x:row>
    <x:row r="63" ht="26.399999618530273" hidden="0" customHeight="1">
      <x:c r="A63" s="254" t="str">
        <x:v>C3.2-QA-ND</x:v>
      </x:c>
      <x:c r="B63" s="254" t="str">
        <x:v>C3.2</x:v>
      </x:c>
      <x:c r="C63" s="254" t="str">
        <x:v>Construction</x:v>
      </x:c>
      <x:c r="D63" s="249" t="n">
        <x:v>46308</x:v>
      </x:c>
      <x:c r="E63" s="249" t="n">
        <x:v>46321</x:v>
      </x:c>
      <x:c r="F63" s="250" t="str">
        <x:v>Подготовка и выполнение проверок: финальная интеграция uc3, реализация uc5, uc8 и uc10</x:v>
      </x:c>
      <x:c r="G63" s="248" t="str">
        <x:v>QA</x:v>
      </x:c>
      <x:c r="H63" s="248" t="str">
        <x:v>Дементьев Н.А.</x:v>
      </x:c>
      <x:c r="I63" s="251" t="n">
        <x:v>4</x:v>
      </x:c>
      <x:c r="J63" s="251" t="n">
        <x:f>VLOOKUP(G63,'Сводка'!$A$14:$B$18,2,FALSE)</x:f>
        <x:v>900</x:v>
      </x:c>
      <x:c r="K63" s="251" t="n">
        <x:f>I63*J63</x:f>
        <x:v>3600</x:v>
      </x:c>
      <x:c r="L63" s="250" t="str">
        <x:v>Все обязательные функции первой рабочей версии; сквозной сценарий UC3</x:v>
      </x:c>
    </x:row>
    <x:row r="64" ht="26.399999618530273" hidden="0" customHeight="1">
      <x:c r="A64" s="256" t="str">
        <x:v>T1-PM-RR</x:v>
      </x:c>
      <x:c r="B64" s="256" t="str">
        <x:v>T1</x:v>
      </x:c>
      <x:c r="C64" s="256" t="str">
        <x:v>Transition</x:v>
      </x:c>
      <x:c r="D64" s="455" t="n">
        <x:v>46322</x:v>
      </x:c>
      <x:c r="E64" s="455" t="n">
        <x:v>46335</x:v>
      </x:c>
      <x:c r="F64" s="258" t="str">
        <x:v>Планирование, контроль и согласование работ: финальное тестирование и исправление дефектов</x:v>
      </x:c>
      <x:c r="G64" s="259" t="str">
        <x:v>PM</x:v>
      </x:c>
      <x:c r="H64" s="259" t="str">
        <x:v>Рахматулин Р.Б.</x:v>
      </x:c>
      <x:c r="I64" s="260" t="n">
        <x:v>2</x:v>
      </x:c>
      <x:c r="J64" s="260" t="n">
        <x:f>VLOOKUP(G64,'Сводка'!$A$14:$B$18,2,FALSE)</x:f>
        <x:v>1500</x:v>
      </x:c>
      <x:c r="K64" s="260" t="n">
        <x:f>I64*J64</x:f>
        <x:v>3000</x:v>
      </x:c>
      <x:c r="L64" s="258" t="str">
        <x:v>Стабильная сборка v1.0-rc</x:v>
      </x:c>
    </x:row>
    <x:row r="65" ht="26.399999618530273" hidden="0" customHeight="1">
      <x:c r="A65" s="254" t="str">
        <x:v>T1-ARC-RR</x:v>
      </x:c>
      <x:c r="B65" s="254" t="str">
        <x:v>T1</x:v>
      </x:c>
      <x:c r="C65" s="254" t="str">
        <x:v>Transition</x:v>
      </x:c>
      <x:c r="D65" s="249" t="n">
        <x:v>46322</x:v>
      </x:c>
      <x:c r="E65" s="249" t="n">
        <x:v>46335</x:v>
      </x:c>
      <x:c r="F65" s="250" t="str">
        <x:v>Проектирование архитектурных решений: финальное тестирование и исправление дефектов</x:v>
      </x:c>
      <x:c r="G65" s="248" t="str">
        <x:v>ARC</x:v>
      </x:c>
      <x:c r="H65" s="248" t="str">
        <x:v>Рахматулин Р.Б.</x:v>
      </x:c>
      <x:c r="I65" s="251" t="n">
        <x:v>1</x:v>
      </x:c>
      <x:c r="J65" s="251" t="n">
        <x:f>VLOOKUP(G65,'Сводка'!$A$14:$B$18,2,FALSE)</x:f>
        <x:v>1400</x:v>
      </x:c>
      <x:c r="K65" s="251" t="n">
        <x:f>I65*J65</x:f>
        <x:v>1400</x:v>
      </x:c>
      <x:c r="L65" s="250" t="str">
        <x:v>Стабильная сборка v1.0-rc</x:v>
      </x:c>
    </x:row>
    <x:row r="66" ht="26.399999618530273" hidden="0" customHeight="1">
      <x:c r="A66" s="254" t="str">
        <x:v>T1-DEV-RR</x:v>
      </x:c>
      <x:c r="B66" s="254" t="str">
        <x:v>T1</x:v>
      </x:c>
      <x:c r="C66" s="254" t="str">
        <x:v>Transition</x:v>
      </x:c>
      <x:c r="D66" s="249" t="n">
        <x:v>46322</x:v>
      </x:c>
      <x:c r="E66" s="249" t="n">
        <x:v>46335</x:v>
      </x:c>
      <x:c r="F66" s="250" t="str">
        <x:v>Реализация серверной части и интеграций: финальное тестирование и исправление дефектов</x:v>
      </x:c>
      <x:c r="G66" s="248" t="str">
        <x:v>DEV</x:v>
      </x:c>
      <x:c r="H66" s="248" t="str">
        <x:v>Рахматулин Р.Б.</x:v>
      </x:c>
      <x:c r="I66" s="251" t="n">
        <x:v>4</x:v>
      </x:c>
      <x:c r="J66" s="251" t="n">
        <x:f>VLOOKUP(G66,'Сводка'!$A$14:$B$18,2,FALSE)</x:f>
        <x:v>1100</x:v>
      </x:c>
      <x:c r="K66" s="251" t="n">
        <x:f>I66*J66</x:f>
        <x:v>4400</x:v>
      </x:c>
      <x:c r="L66" s="250" t="str">
        <x:v>Стабильная сборка v1.0-rc</x:v>
      </x:c>
    </x:row>
    <x:row r="67" ht="26.399999618530273" hidden="0" customHeight="1">
      <x:c r="A67" s="254" t="str">
        <x:v>T1-QA-ND</x:v>
      </x:c>
      <x:c r="B67" s="254" t="str">
        <x:v>T1</x:v>
      </x:c>
      <x:c r="C67" s="254" t="str">
        <x:v>Transition</x:v>
      </x:c>
      <x:c r="D67" s="249" t="n">
        <x:v>46322</x:v>
      </x:c>
      <x:c r="E67" s="249" t="n">
        <x:v>46335</x:v>
      </x:c>
      <x:c r="F67" s="250" t="str">
        <x:v>Подготовка и выполнение проверок: финальное тестирование и исправление дефектов</x:v>
      </x:c>
      <x:c r="G67" s="248" t="str">
        <x:v>QA</x:v>
      </x:c>
      <x:c r="H67" s="248" t="str">
        <x:v>Дементьев Н.А.</x:v>
      </x:c>
      <x:c r="I67" s="251" t="n">
        <x:v>7</x:v>
      </x:c>
      <x:c r="J67" s="251" t="n">
        <x:f>VLOOKUP(G67,'Сводка'!$A$14:$B$18,2,FALSE)</x:f>
        <x:v>900</x:v>
      </x:c>
      <x:c r="K67" s="251" t="n">
        <x:f>I67*J67</x:f>
        <x:v>6300</x:v>
      </x:c>
      <x:c r="L67" s="250" t="str">
        <x:v>Стабильная сборка v1.0-rc</x:v>
      </x:c>
    </x:row>
    <x:row r="68" ht="39.599998474121094" hidden="0" customHeight="1">
      <x:c r="A68" s="254" t="str">
        <x:v>T2-PM-RR</x:v>
      </x:c>
      <x:c r="B68" s="254" t="str">
        <x:v>T2</x:v>
      </x:c>
      <x:c r="C68" s="254" t="str">
        <x:v>Transition</x:v>
      </x:c>
      <x:c r="D68" s="249" t="n">
        <x:v>46336</x:v>
      </x:c>
      <x:c r="E68" s="249" t="n">
        <x:v>46349</x:v>
      </x:c>
      <x:c r="F68" s="250" t="str">
        <x:v>Планирование, контроль и согласование работ: оптимизация производительности и подготовка swagger</x:v>
      </x:c>
      <x:c r="G68" s="248" t="str">
        <x:v>PM</x:v>
      </x:c>
      <x:c r="H68" s="248" t="str">
        <x:v>Рахматулин Р.Б.</x:v>
      </x:c>
      <x:c r="I68" s="251" t="n">
        <x:v>2</x:v>
      </x:c>
      <x:c r="J68" s="251" t="n">
        <x:f>VLOOKUP(G68,'Сводка'!$A$14:$B$18,2,FALSE)</x:f>
        <x:v>1500</x:v>
      </x:c>
      <x:c r="K68" s="251" t="n">
        <x:f>I68*J68</x:f>
        <x:v>3000</x:v>
      </x:c>
      <x:c r="L68" s="250" t="str">
        <x:v>Результаты нагрузочного тестирования; документация программного интерфейса</x:v>
      </x:c>
    </x:row>
    <x:row r="69" ht="39.599998474121094" hidden="0" customHeight="1">
      <x:c r="A69" s="254" t="str">
        <x:v>T2-ARC-RR</x:v>
      </x:c>
      <x:c r="B69" s="254" t="str">
        <x:v>T2</x:v>
      </x:c>
      <x:c r="C69" s="254" t="str">
        <x:v>Transition</x:v>
      </x:c>
      <x:c r="D69" s="249" t="n">
        <x:v>46336</x:v>
      </x:c>
      <x:c r="E69" s="249" t="n">
        <x:v>46349</x:v>
      </x:c>
      <x:c r="F69" s="250" t="str">
        <x:v>Проектирование архитектурных решений: оптимизация производительности и подготовка swagger</x:v>
      </x:c>
      <x:c r="G69" s="248" t="str">
        <x:v>ARC</x:v>
      </x:c>
      <x:c r="H69" s="248" t="str">
        <x:v>Рахматулин Р.Б.</x:v>
      </x:c>
      <x:c r="I69" s="251" t="n">
        <x:v>3</x:v>
      </x:c>
      <x:c r="J69" s="251" t="n">
        <x:f>VLOOKUP(G69,'Сводка'!$A$14:$B$18,2,FALSE)</x:f>
        <x:v>1400</x:v>
      </x:c>
      <x:c r="K69" s="251" t="n">
        <x:f>I69*J69</x:f>
        <x:v>4200</x:v>
      </x:c>
      <x:c r="L69" s="250" t="str">
        <x:v>Результаты нагрузочного тестирования; документация программного интерфейса</x:v>
      </x:c>
    </x:row>
    <x:row r="70" ht="39.599998474121094" hidden="0" customHeight="1">
      <x:c r="A70" s="254" t="str">
        <x:v>T2-DEV-RR</x:v>
      </x:c>
      <x:c r="B70" s="254" t="str">
        <x:v>T2</x:v>
      </x:c>
      <x:c r="C70" s="254" t="str">
        <x:v>Transition</x:v>
      </x:c>
      <x:c r="D70" s="249" t="n">
        <x:v>46336</x:v>
      </x:c>
      <x:c r="E70" s="249" t="n">
        <x:v>46349</x:v>
      </x:c>
      <x:c r="F70" s="250" t="str">
        <x:v>Реализация серверной части и интеграций: оптимизация производительности и подготовка swagger</x:v>
      </x:c>
      <x:c r="G70" s="248" t="str">
        <x:v>DEV</x:v>
      </x:c>
      <x:c r="H70" s="248" t="str">
        <x:v>Рахматулин Р.Б.</x:v>
      </x:c>
      <x:c r="I70" s="251" t="n">
        <x:v>2</x:v>
      </x:c>
      <x:c r="J70" s="251" t="n">
        <x:f>VLOOKUP(G70,'Сводка'!$A$14:$B$18,2,FALSE)</x:f>
        <x:v>1100</x:v>
      </x:c>
      <x:c r="K70" s="251" t="n">
        <x:f>I70*J70</x:f>
        <x:v>2200</x:v>
      </x:c>
      <x:c r="L70" s="250" t="str">
        <x:v>Результаты нагрузочного тестирования; документация программного интерфейса</x:v>
      </x:c>
    </x:row>
    <x:row r="71" ht="39.599998474121094" hidden="0" customHeight="1">
      <x:c r="A71" s="254" t="str">
        <x:v>T2-DEV-ND</x:v>
      </x:c>
      <x:c r="B71" s="254" t="str">
        <x:v>T2</x:v>
      </x:c>
      <x:c r="C71" s="254" t="str">
        <x:v>Transition</x:v>
      </x:c>
      <x:c r="D71" s="249" t="n">
        <x:v>46336</x:v>
      </x:c>
      <x:c r="E71" s="249" t="n">
        <x:v>46349</x:v>
      </x:c>
      <x:c r="F71" s="250" t="str">
        <x:v>Реализация клиентской и прикладной части: оптимизация производительности и подготовка swagger</x:v>
      </x:c>
      <x:c r="G71" s="248" t="str">
        <x:v>DEV</x:v>
      </x:c>
      <x:c r="H71" s="248" t="str">
        <x:v>Дементьев Н.А.</x:v>
      </x:c>
      <x:c r="I71" s="251" t="n">
        <x:v>6</x:v>
      </x:c>
      <x:c r="J71" s="251" t="n">
        <x:f>VLOOKUP(G71,'Сводка'!$A$14:$B$18,2,FALSE)</x:f>
        <x:v>1100</x:v>
      </x:c>
      <x:c r="K71" s="251" t="n">
        <x:f>I71*J71</x:f>
        <x:v>6600</x:v>
      </x:c>
      <x:c r="L71" s="250" t="str">
        <x:v>Результаты нагрузочного тестирования; документация программного интерфейса</x:v>
      </x:c>
    </x:row>
    <x:row r="72" ht="26.399999618530273" hidden="0" customHeight="1">
      <x:c r="A72" s="254" t="str">
        <x:v>T2-QA-ND</x:v>
      </x:c>
      <x:c r="B72" s="254" t="str">
        <x:v>T2</x:v>
      </x:c>
      <x:c r="C72" s="254" t="str">
        <x:v>Transition</x:v>
      </x:c>
      <x:c r="D72" s="249" t="n">
        <x:v>46336</x:v>
      </x:c>
      <x:c r="E72" s="249" t="n">
        <x:v>46349</x:v>
      </x:c>
      <x:c r="F72" s="250" t="str">
        <x:v>Подготовка и выполнение проверок: оптимизация производительности и подготовка swagger</x:v>
      </x:c>
      <x:c r="G72" s="248" t="str">
        <x:v>QA</x:v>
      </x:c>
      <x:c r="H72" s="248" t="str">
        <x:v>Дементьев Н.А.</x:v>
      </x:c>
      <x:c r="I72" s="251" t="n">
        <x:v>1</x:v>
      </x:c>
      <x:c r="J72" s="251" t="n">
        <x:f>VLOOKUP(G72,'Сводка'!$A$14:$B$18,2,FALSE)</x:f>
        <x:v>900</x:v>
      </x:c>
      <x:c r="K72" s="251" t="n">
        <x:f>I72*J72</x:f>
        <x:v>900</x:v>
      </x:c>
      <x:c r="L72" s="250" t="str">
        <x:v>Результаты нагрузочного тестирования; документация программного интерфейса</x:v>
      </x:c>
    </x:row>
    <x:row r="73" ht="39.599998474121094" hidden="0" customHeight="1">
      <x:c r="A73" s="254" t="str">
        <x:v>T3-PM-RR</x:v>
      </x:c>
      <x:c r="B73" s="254" t="str">
        <x:v>T3</x:v>
      </x:c>
      <x:c r="C73" s="254" t="str">
        <x:v>Transition</x:v>
      </x:c>
      <x:c r="D73" s="249" t="n">
        <x:v>46350</x:v>
      </x:c>
      <x:c r="E73" s="249" t="n">
        <x:v>46371</x:v>
      </x:c>
      <x:c r="F73" s="250" t="str">
        <x:v>Планирование, контроль и согласование работ: демонстрация заказчику и финальная сдача документации</x:v>
      </x:c>
      <x:c r="G73" s="248" t="str">
        <x:v>PM</x:v>
      </x:c>
      <x:c r="H73" s="248" t="str">
        <x:v>Рахматулин Р.Б.</x:v>
      </x:c>
      <x:c r="I73" s="251" t="n">
        <x:v>2</x:v>
      </x:c>
      <x:c r="J73" s="251" t="n">
        <x:f>VLOOKUP(G73,'Сводка'!$A$14:$B$18,2,FALSE)</x:f>
        <x:v>1500</x:v>
      </x:c>
      <x:c r="K73" s="251" t="n">
        <x:f>I73*J73</x:f>
        <x:v>3000</x:v>
      </x:c>
      <x:c r="L73" s="250" t="str">
        <x:v>Принятое приложение v1.0; финальная документация</x:v>
      </x:c>
    </x:row>
    <x:row r="74" ht="39.599998474121094" hidden="0" customHeight="1">
      <x:c r="A74" s="254" t="str">
        <x:v>T3-AN-RR</x:v>
      </x:c>
      <x:c r="B74" s="254" t="str">
        <x:v>T3</x:v>
      </x:c>
      <x:c r="C74" s="254" t="str">
        <x:v>Transition</x:v>
      </x:c>
      <x:c r="D74" s="249" t="n">
        <x:v>46350</x:v>
      </x:c>
      <x:c r="E74" s="249" t="n">
        <x:v>46371</x:v>
      </x:c>
      <x:c r="F74" s="250" t="str">
        <x:v>Уточнение бизнес-правил, границ и приоритетов: демонстрация заказчику и финальная сдача документации</x:v>
      </x:c>
      <x:c r="G74" s="248" t="str">
        <x:v>AN</x:v>
      </x:c>
      <x:c r="H74" s="248" t="str">
        <x:v>Рахматулин Р.Б.</x:v>
      </x:c>
      <x:c r="I74" s="251" t="n">
        <x:v>2</x:v>
      </x:c>
      <x:c r="J74" s="251" t="n">
        <x:f>VLOOKUP(G74,'Сводка'!$A$14:$B$18,2,FALSE)</x:f>
        <x:v>1000</x:v>
      </x:c>
      <x:c r="K74" s="251" t="n">
        <x:f>I74*J74</x:f>
        <x:v>2000</x:v>
      </x:c>
      <x:c r="L74" s="250" t="str">
        <x:v>Принятое приложение v1.0; финальная документация</x:v>
      </x:c>
    </x:row>
    <x:row r="75" ht="39.599998474121094" hidden="0" customHeight="1">
      <x:c r="A75" s="254" t="str">
        <x:v>T3-DEV-RR</x:v>
      </x:c>
      <x:c r="B75" s="254" t="str">
        <x:v>T3</x:v>
      </x:c>
      <x:c r="C75" s="254" t="str">
        <x:v>Transition</x:v>
      </x:c>
      <x:c r="D75" s="249" t="n">
        <x:v>46350</x:v>
      </x:c>
      <x:c r="E75" s="249" t="n">
        <x:v>46371</x:v>
      </x:c>
      <x:c r="F75" s="250" t="str">
        <x:v>Реализация серверной части и интеграций: демонстрация заказчику и финальная сдача документации</x:v>
      </x:c>
      <x:c r="G75" s="248" t="str">
        <x:v>DEV</x:v>
      </x:c>
      <x:c r="H75" s="248" t="str">
        <x:v>Рахматулин Р.Б.</x:v>
      </x:c>
      <x:c r="I75" s="251" t="n">
        <x:v>3</x:v>
      </x:c>
      <x:c r="J75" s="251" t="n">
        <x:f>VLOOKUP(G75,'Сводка'!$A$14:$B$18,2,FALSE)</x:f>
        <x:v>1100</x:v>
      </x:c>
      <x:c r="K75" s="251" t="n">
        <x:f>I75*J75</x:f>
        <x:v>3300</x:v>
      </x:c>
      <x:c r="L75" s="250" t="str">
        <x:v>Принятое приложение v1.0; финальная документация</x:v>
      </x:c>
    </x:row>
    <x:row r="76" ht="39.599998474121094" hidden="0" customHeight="1">
      <x:c r="A76" s="254" t="str">
        <x:v>T3-DEV-ND</x:v>
      </x:c>
      <x:c r="B76" s="254" t="str">
        <x:v>T3</x:v>
      </x:c>
      <x:c r="C76" s="254" t="str">
        <x:v>Transition</x:v>
      </x:c>
      <x:c r="D76" s="249" t="n">
        <x:v>46350</x:v>
      </x:c>
      <x:c r="E76" s="249" t="n">
        <x:v>46371</x:v>
      </x:c>
      <x:c r="F76" s="250" t="str">
        <x:v>Реализация клиентской и прикладной части: демонстрация заказчику и финальная сдача документации</x:v>
      </x:c>
      <x:c r="G76" s="248" t="str">
        <x:v>DEV</x:v>
      </x:c>
      <x:c r="H76" s="248" t="str">
        <x:v>Дементьев Н.А.</x:v>
      </x:c>
      <x:c r="I76" s="251" t="n">
        <x:v>3</x:v>
      </x:c>
      <x:c r="J76" s="251" t="n">
        <x:f>VLOOKUP(G76,'Сводка'!$A$14:$B$18,2,FALSE)</x:f>
        <x:v>1100</x:v>
      </x:c>
      <x:c r="K76" s="251" t="n">
        <x:f>I76*J76</x:f>
        <x:v>3300</x:v>
      </x:c>
      <x:c r="L76" s="250" t="str">
        <x:v>Принятое приложение v1.0; финальная документация</x:v>
      </x:c>
    </x:row>
    <x:row r="77" ht="39.599998474121094" hidden="0" customHeight="1">
      <x:c r="A77" s="254" t="str">
        <x:v>T3-QA-ND</x:v>
      </x:c>
      <x:c r="B77" s="254" t="str">
        <x:v>T3</x:v>
      </x:c>
      <x:c r="C77" s="254" t="str">
        <x:v>Transition</x:v>
      </x:c>
      <x:c r="D77" s="249" t="n">
        <x:v>46350</x:v>
      </x:c>
      <x:c r="E77" s="249" t="n">
        <x:v>46371</x:v>
      </x:c>
      <x:c r="F77" s="250" t="str">
        <x:v>Подготовка и выполнение проверок: демонстрация заказчику и финальная сдача документации</x:v>
      </x:c>
      <x:c r="G77" s="248" t="str">
        <x:v>QA</x:v>
      </x:c>
      <x:c r="H77" s="248" t="str">
        <x:v>Дементьев Н.А.</x:v>
      </x:c>
      <x:c r="I77" s="251" t="n">
        <x:v>4</x:v>
      </x:c>
      <x:c r="J77" s="251" t="n">
        <x:f>VLOOKUP(G77,'Сводка'!$A$14:$B$18,2,FALSE)</x:f>
        <x:v>900</x:v>
      </x:c>
      <x:c r="K77" s="251" t="n">
        <x:f>I77*J77</x:f>
        <x:v>3600</x:v>
      </x:c>
      <x:c r="L77" s="250" t="str">
        <x:v>Принятое приложение v1.0; финальная документация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12b5f5e28d0345cc"/>
  </x:tableParts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.329999923706055" hidden="0" customWidth="1"/>
    <x:col min="2" max="2" width="18.329999923706055" hidden="0" customWidth="1"/>
    <x:col min="3" max="3" width="9.4399995803833" hidden="0" customWidth="1"/>
    <x:col min="4" max="4" width="14.4399995803833" hidden="0" customWidth="1"/>
    <x:col min="5" max="5" width="12.220000267028809" hidden="0" customWidth="1"/>
    <x:col min="6" max="6" width="2.6700000762939453" hidden="0" customWidth="1"/>
    <x:col min="7" max="7" width="8.670000076293945" hidden="0" customWidth="1"/>
    <x:col min="8" max="8" width="11.670000076293945" hidden="0" customWidth="1"/>
    <x:col min="9" max="9" width="11.670000076293945" hidden="0" customWidth="1"/>
    <x:col min="10" max="10" width="8.890000343322754" hidden="0" customWidth="1"/>
    <x:col min="11" max="11" width="7.21999979019165" hidden="0" customWidth="1"/>
    <x:col min="12" max="12" width="7.21999979019165" hidden="0" customWidth="1"/>
    <x:col min="13" max="13" width="8.329999923706055" hidden="0" customWidth="1"/>
  </x:cols>
  <x:sheetData>
    <x:row r="1" ht="30" customHeight="1">
      <x:c r="A1" s="239" t="str">
        <x:v>Сводка трудоёмкости и загрузки команды</x:v>
      </x:c>
      <x:c r="B1" s="240" t="str">
        <x:v>Сводка трудоёмкости и загрузки команды</x:v>
      </x:c>
      <x:c r="C1" s="240" t="str">
        <x:v>Сводка трудоёмкости и загрузки команды</x:v>
      </x:c>
      <x:c r="D1" s="240" t="str">
        <x:v>Сводка трудоёмкости и загрузки команды</x:v>
      </x:c>
      <x:c r="E1" s="240" t="str">
        <x:v>Сводка трудоёмкости и загрузки команды</x:v>
      </x:c>
      <x:c r="F1" s="240" t="str">
        <x:v>Сводка трудоёмкости и загрузки команды</x:v>
      </x:c>
      <x:c r="G1" s="240" t="str">
        <x:v>Сводка трудоёмкости и загрузки команды</x:v>
      </x:c>
      <x:c r="H1" s="240" t="str">
        <x:v>Сводка трудоёмкости и загрузки команды</x:v>
      </x:c>
      <x:c r="I1" s="240" t="str">
        <x:v>Сводка трудоёмкости и загрузки команды</x:v>
      </x:c>
      <x:c r="J1" s="240" t="str">
        <x:v>Сводка трудоёмкости и загрузки команды</x:v>
      </x:c>
      <x:c r="K1" s="240" t="str">
        <x:v>Сводка трудоёмкости и загрузки команды</x:v>
      </x:c>
      <x:c r="L1" s="240" t="str">
        <x:v>Сводка трудоёмкости и загрузки команды</x:v>
      </x:c>
      <x:c r="M1" s="241" t="str">
        <x:v>Сводка трудоёмкости и загрузки команды</x:v>
      </x:c>
    </x:row>
    <x:row r="2">
      <x:c r="A2" s="233"/>
      <x:c r="B2" s="234"/>
      <x:c r="C2" s="234"/>
      <x:c r="D2" s="234"/>
      <x:c r="E2" s="234"/>
      <x:c r="F2" s="234"/>
      <x:c r="G2" s="234"/>
      <x:c r="H2" s="234"/>
      <x:c r="I2" s="234"/>
      <x:c r="J2" s="234"/>
      <x:c r="K2" s="234"/>
      <x:c r="L2" s="234"/>
      <x:c r="M2" s="235"/>
    </x:row>
    <x:row r="3">
      <x:c r="A3" s="334" t="str">
        <x:v>Общая трудоёмкость</x:v>
      </x:c>
      <x:c r="B3" s="335" t="str">
        <x:v>Общая трудоёмкость</x:v>
      </x:c>
      <x:c r="C3" s="336" t="str">
        <x:v>Общая трудоёмкость</x:v>
      </x:c>
      <x:c r="D3" s="234"/>
      <x:c r="E3" s="334" t="str">
        <x:v>Нагрузка участников</x:v>
      </x:c>
      <x:c r="F3" s="335" t="str">
        <x:v>Нагрузка участников</x:v>
      </x:c>
      <x:c r="G3" s="336" t="str">
        <x:v>Нагрузка участников</x:v>
      </x:c>
      <x:c r="H3" s="234"/>
      <x:c r="I3" s="334" t="str">
        <x:v>Плановый бюджет</x:v>
      </x:c>
      <x:c r="J3" s="335" t="str">
        <x:v>Плановый бюджет</x:v>
      </x:c>
      <x:c r="K3" s="336" t="str">
        <x:v>Плановый бюджет</x:v>
      </x:c>
      <x:c r="L3" s="234"/>
      <x:c r="M3" s="235"/>
    </x:row>
    <x:row r="4">
      <x:c r="A4" s="343" t="n">
        <x:f>SUM('Календарный план'!$I$5:$I$77)</x:f>
        <x:v>242</x:v>
      </x:c>
      <x:c r="B4" s="344"/>
      <x:c r="C4" s="345"/>
      <x:c r="D4" s="234"/>
      <x:c r="E4" s="352" t="str">
        <x:f>C8&amp;" / "&amp;C9&amp;" ч"</x:f>
        <x:v>121 / 121 ч</x:v>
      </x:c>
      <x:c r="F4" s="353"/>
      <x:c r="G4" s="354"/>
      <x:c r="H4" s="234"/>
      <x:c r="I4" s="361" t="n">
        <x:f>SUM('Календарный план'!$K$5:$K$77)</x:f>
        <x:v>273600</x:v>
      </x:c>
      <x:c r="J4" s="362"/>
      <x:c r="K4" s="363"/>
      <x:c r="L4" s="234"/>
      <x:c r="M4" s="235"/>
    </x:row>
    <x:row r="5">
      <x:c r="A5" s="233"/>
      <x:c r="B5" s="234"/>
      <x:c r="C5" s="234"/>
      <x:c r="D5" s="234"/>
      <x:c r="E5" s="234"/>
      <x:c r="F5" s="234"/>
      <x:c r="G5" s="234"/>
      <x:c r="H5" s="234"/>
      <x:c r="I5" s="234"/>
      <x:c r="J5" s="234"/>
      <x:c r="K5" s="234"/>
      <x:c r="L5" s="234"/>
      <x:c r="M5" s="235"/>
    </x:row>
    <x:row r="6">
      <x:c r="A6" s="233"/>
      <x:c r="B6" s="234"/>
      <x:c r="C6" s="234"/>
      <x:c r="D6" s="234"/>
      <x:c r="E6" s="234"/>
      <x:c r="F6" s="234"/>
      <x:c r="G6" s="234"/>
      <x:c r="H6" s="234"/>
      <x:c r="I6" s="234"/>
      <x:c r="J6" s="234"/>
      <x:c r="K6" s="234"/>
      <x:c r="L6" s="234"/>
      <x:c r="M6" s="235"/>
    </x:row>
    <x:row r="7" ht="30" customHeight="1">
      <x:c r="A7" s="253" t="str">
        <x:v>Участник</x:v>
      </x:c>
      <x:c r="B7" s="253" t="str">
        <x:v>Роли</x:v>
      </x:c>
      <x:c r="C7" s="253" t="str">
        <x:v>Часы</x:v>
      </x:c>
      <x:c r="D7" s="253" t="str">
        <x:v>Отклонение от 121 ч</x:v>
      </x:c>
      <x:c r="E7" s="253" t="str">
        <x:v>Стоимость, ₽</x:v>
      </x:c>
      <x:c r="F7" s="234"/>
      <x:c r="G7" s="253" t="str">
        <x:v>Итерация</x:v>
      </x:c>
      <x:c r="H7" s="253" t="str">
        <x:v>PM</x:v>
      </x:c>
      <x:c r="I7" s="253" t="str">
        <x:v>AN</x:v>
      </x:c>
      <x:c r="J7" s="253" t="str">
        <x:v>ARC</x:v>
      </x:c>
      <x:c r="K7" s="253" t="str">
        <x:v>DEV</x:v>
      </x:c>
      <x:c r="L7" s="253" t="str">
        <x:v>QA</x:v>
      </x:c>
      <x:c r="M7" s="253" t="str">
        <x:v>Итого</x:v>
      </x:c>
    </x:row>
    <x:row r="8">
      <x:c r="A8" s="364" t="str">
        <x:v>Рахматулин Р.Б.</x:v>
      </x:c>
      <x:c r="B8" s="364" t="str">
        <x:v>PM, AN, ARC, DEV</x:v>
      </x:c>
      <x:c r="C8" s="365" t="n">
        <x:f>SUMIF('Календарный план'!$H$5:$H$77,A8,'Календарный план'!$I$5:$I$77)</x:f>
        <x:v>121</x:v>
      </x:c>
      <x:c r="D8" s="365" t="n">
        <x:f>C8-121</x:f>
        <x:v>0</x:v>
      </x:c>
      <x:c r="E8" s="365" t="n">
        <x:f>SUMIF('Календарный план'!$H$5:$H$77,A8,'Календарный план'!$K$5:$K$77)</x:f>
        <x:v>150000</x:v>
      </x:c>
      <x:c r="F8" s="234"/>
      <x:c r="G8" s="364" t="str">
        <x:v>I1</x:v>
      </x:c>
      <x:c r="H8" s="375" t="n">
        <x:f>SUMIFS('Календарный план'!$I$5:$I$77,'Календарный план'!$B$5:$B$77,$G8,'Календарный план'!$G$5:$G$77,H$7)</x:f>
        <x:v>2</x:v>
      </x:c>
      <x:c r="I8" s="375" t="n">
        <x:f>SUMIFS('Календарный план'!$I$5:$I$77,'Календарный план'!$B$5:$B$77,$G8,'Календарный план'!$G$5:$G$77,I$7)</x:f>
        <x:v>8</x:v>
      </x:c>
      <x:c r="J8" s="375" t="n">
        <x:f>SUMIFS('Календарный план'!$I$5:$I$77,'Календарный план'!$B$5:$B$77,$G8,'Календарный план'!$G$5:$G$77,J$7)</x:f>
        <x:v>2</x:v>
      </x:c>
      <x:c r="K8" s="375" t="n">
        <x:f>SUMIFS('Календарный план'!$I$5:$I$77,'Календарный план'!$B$5:$B$77,$G8,'Календарный план'!$G$5:$G$77,K$7)</x:f>
        <x:v>0</x:v>
      </x:c>
      <x:c r="L8" s="375" t="n">
        <x:f>SUMIFS('Календарный план'!$I$5:$I$77,'Календарный план'!$B$5:$B$77,$G8,'Календарный план'!$G$5:$G$77,L$7)</x:f>
        <x:v>1</x:v>
      </x:c>
      <x:c r="M8" s="375" t="n">
        <x:f>SUM(H8:L8)</x:f>
        <x:v>13</x:v>
      </x:c>
    </x:row>
    <x:row r="9">
      <x:c r="A9" s="364" t="str">
        <x:v>Дементьев Н.А.</x:v>
      </x:c>
      <x:c r="B9" s="364" t="str">
        <x:v>AN, DEV, QA</x:v>
      </x:c>
      <x:c r="C9" s="365" t="n">
        <x:f>SUMIF('Календарный план'!$H$5:$H$77,A9,'Календарный план'!$I$5:$I$77)</x:f>
        <x:v>121</x:v>
      </x:c>
      <x:c r="D9" s="365" t="n">
        <x:f>C9-121</x:f>
        <x:v>0</x:v>
      </x:c>
      <x:c r="E9" s="365" t="n">
        <x:f>SUMIF('Календарный план'!$H$5:$H$77,A9,'Календарный план'!$K$5:$K$77)</x:f>
        <x:v>123600</x:v>
      </x:c>
      <x:c r="F9" s="234"/>
      <x:c r="G9" s="364" t="str">
        <x:v>I2</x:v>
      </x:c>
      <x:c r="H9" s="375" t="n">
        <x:f>SUMIFS('Календарный план'!$I$5:$I$77,'Календарный план'!$B$5:$B$77,$G9,'Календарный план'!$G$5:$G$77,H$7)</x:f>
        <x:v>2</x:v>
      </x:c>
      <x:c r="I9" s="375" t="n">
        <x:f>SUMIFS('Календарный план'!$I$5:$I$77,'Календарный план'!$B$5:$B$77,$G9,'Календарный план'!$G$5:$G$77,I$7)</x:f>
        <x:v>6</x:v>
      </x:c>
      <x:c r="J9" s="375" t="n">
        <x:f>SUMIFS('Календарный план'!$I$5:$I$77,'Календарный план'!$B$5:$B$77,$G9,'Календарный план'!$G$5:$G$77,J$7)</x:f>
        <x:v>2</x:v>
      </x:c>
      <x:c r="K9" s="375" t="n">
        <x:f>SUMIFS('Календарный план'!$I$5:$I$77,'Календарный план'!$B$5:$B$77,$G9,'Календарный план'!$G$5:$G$77,K$7)</x:f>
        <x:v>2</x:v>
      </x:c>
      <x:c r="L9" s="375" t="n">
        <x:f>SUMIFS('Календарный план'!$I$5:$I$77,'Календарный план'!$B$5:$B$77,$G9,'Календарный план'!$G$5:$G$77,L$7)</x:f>
        <x:v>1</x:v>
      </x:c>
      <x:c r="M9" s="375" t="n">
        <x:f>SUM(H9:L9)</x:f>
        <x:v>13</x:v>
      </x:c>
    </x:row>
    <x:row r="10">
      <x:c r="A10" s="368" t="str">
        <x:v>Итого</x:v>
      </x:c>
      <x:c r="B10" s="368"/>
      <x:c r="C10" s="369" t="n">
        <x:f>SUM(C8:C9)</x:f>
        <x:v>242</x:v>
      </x:c>
      <x:c r="D10" s="369"/>
      <x:c r="E10" s="369" t="n">
        <x:f>SUM(E8:E9)</x:f>
        <x:v>273600</x:v>
      </x:c>
      <x:c r="F10" s="234"/>
      <x:c r="G10" s="364" t="str">
        <x:v>E1</x:v>
      </x:c>
      <x:c r="H10" s="375" t="n">
        <x:f>SUMIFS('Календарный план'!$I$5:$I$77,'Календарный план'!$B$5:$B$77,$G10,'Календарный план'!$G$5:$G$77,H$7)</x:f>
        <x:v>2</x:v>
      </x:c>
      <x:c r="I10" s="375" t="n">
        <x:f>SUMIFS('Календарный план'!$I$5:$I$77,'Календарный план'!$B$5:$B$77,$G10,'Календарный план'!$G$5:$G$77,I$7)</x:f>
        <x:v>5</x:v>
      </x:c>
      <x:c r="J10" s="375" t="n">
        <x:f>SUMIFS('Календарный план'!$I$5:$I$77,'Календарный план'!$B$5:$B$77,$G10,'Календарный план'!$G$5:$G$77,J$7)</x:f>
        <x:v>9</x:v>
      </x:c>
      <x:c r="K10" s="375" t="n">
        <x:f>SUMIFS('Календарный план'!$I$5:$I$77,'Календарный план'!$B$5:$B$77,$G10,'Календарный план'!$G$5:$G$77,K$7)</x:f>
        <x:v>6</x:v>
      </x:c>
      <x:c r="L10" s="375" t="n">
        <x:f>SUMIFS('Календарный план'!$I$5:$I$77,'Календарный план'!$B$5:$B$77,$G10,'Календарный план'!$G$5:$G$77,L$7)</x:f>
        <x:v>2</x:v>
      </x:c>
      <x:c r="M10" s="375" t="n">
        <x:f>SUM(H10:L10)</x:f>
        <x:v>24</x:v>
      </x:c>
    </x:row>
    <x:row r="11">
      <x:c r="A11" s="233"/>
      <x:c r="B11" s="234"/>
      <x:c r="C11" s="373"/>
      <x:c r="D11" s="373"/>
      <x:c r="E11" s="373"/>
      <x:c r="F11" s="234"/>
      <x:c r="G11" s="364" t="str">
        <x:v>E2</x:v>
      </x:c>
      <x:c r="H11" s="375" t="n">
        <x:f>SUMIFS('Календарный план'!$I$5:$I$77,'Календарный план'!$B$5:$B$77,$G11,'Календарный план'!$G$5:$G$77,H$7)</x:f>
        <x:v>2</x:v>
      </x:c>
      <x:c r="I11" s="375" t="n">
        <x:f>SUMIFS('Календарный план'!$I$5:$I$77,'Календарный план'!$B$5:$B$77,$G11,'Календарный план'!$G$5:$G$77,I$7)</x:f>
        <x:v>3</x:v>
      </x:c>
      <x:c r="J11" s="375" t="n">
        <x:f>SUMIFS('Календарный план'!$I$5:$I$77,'Календарный план'!$B$5:$B$77,$G11,'Календарный план'!$G$5:$G$77,J$7)</x:f>
        <x:v>5</x:v>
      </x:c>
      <x:c r="K11" s="375" t="n">
        <x:f>SUMIFS('Календарный план'!$I$5:$I$77,'Календарный план'!$B$5:$B$77,$G11,'Календарный план'!$G$5:$G$77,K$7)</x:f>
        <x:v>10</x:v>
      </x:c>
      <x:c r="L11" s="375" t="n">
        <x:f>SUMIFS('Календарный план'!$I$5:$I$77,'Календарный план'!$B$5:$B$77,$G11,'Календарный план'!$G$5:$G$77,L$7)</x:f>
        <x:v>4</x:v>
      </x:c>
      <x:c r="M11" s="375" t="n">
        <x:f>SUM(H11:L11)</x:f>
        <x:v>24</x:v>
      </x:c>
    </x:row>
    <x:row r="12">
      <x:c r="A12" s="233"/>
      <x:c r="B12" s="234"/>
      <x:c r="C12" s="373"/>
      <x:c r="D12" s="373"/>
      <x:c r="E12" s="373"/>
      <x:c r="F12" s="234"/>
      <x:c r="G12" s="364" t="str">
        <x:v>C1.1</x:v>
      </x:c>
      <x:c r="H12" s="375" t="n">
        <x:f>SUMIFS('Календарный план'!$I$5:$I$77,'Календарный план'!$B$5:$B$77,$G12,'Календарный план'!$G$5:$G$77,H$7)</x:f>
        <x:v>1</x:v>
      </x:c>
      <x:c r="I12" s="375" t="n">
        <x:f>SUMIFS('Календарный план'!$I$5:$I$77,'Календарный план'!$B$5:$B$77,$G12,'Календарный план'!$G$5:$G$77,I$7)</x:f>
        <x:v>1</x:v>
      </x:c>
      <x:c r="J12" s="375" t="n">
        <x:f>SUMIFS('Календарный план'!$I$5:$I$77,'Календарный план'!$B$5:$B$77,$G12,'Календарный план'!$G$5:$G$77,J$7)</x:f>
        <x:v>2</x:v>
      </x:c>
      <x:c r="K12" s="375" t="n">
        <x:f>SUMIFS('Календарный план'!$I$5:$I$77,'Календарный план'!$B$5:$B$77,$G12,'Календарный план'!$G$5:$G$77,K$7)</x:f>
        <x:v>14</x:v>
      </x:c>
      <x:c r="L12" s="375" t="n">
        <x:f>SUMIFS('Календарный план'!$I$5:$I$77,'Календарный план'!$B$5:$B$77,$G12,'Календарный план'!$G$5:$G$77,L$7)</x:f>
        <x:v>3</x:v>
      </x:c>
      <x:c r="M12" s="375" t="n">
        <x:f>SUM(H12:L12)</x:f>
        <x:v>21</x:v>
      </x:c>
    </x:row>
    <x:row r="13" ht="30" customHeight="1">
      <x:c r="A13" s="253" t="str">
        <x:v>Роль</x:v>
      </x:c>
      <x:c r="B13" s="253" t="str">
        <x:v>Ставка, ₽/ч</x:v>
      </x:c>
      <x:c r="C13" s="374" t="str">
        <x:v>Часы</x:v>
      </x:c>
      <x:c r="D13" s="374" t="str">
        <x:v>Стоимость, ₽</x:v>
      </x:c>
      <x:c r="E13" s="373"/>
      <x:c r="F13" s="234"/>
      <x:c r="G13" s="364" t="str">
        <x:v>C1.2</x:v>
      </x:c>
      <x:c r="H13" s="375" t="n">
        <x:f>SUMIFS('Календарный план'!$I$5:$I$77,'Календарный план'!$B$5:$B$77,$G13,'Календарный план'!$G$5:$G$77,H$7)</x:f>
        <x:v>1</x:v>
      </x:c>
      <x:c r="I13" s="375" t="n">
        <x:f>SUMIFS('Календарный план'!$I$5:$I$77,'Календарный план'!$B$5:$B$77,$G13,'Календарный план'!$G$5:$G$77,I$7)</x:f>
        <x:v>0</x:v>
      </x:c>
      <x:c r="J13" s="375" t="n">
        <x:f>SUMIFS('Календарный план'!$I$5:$I$77,'Календарный план'!$B$5:$B$77,$G13,'Календарный план'!$G$5:$G$77,J$7)</x:f>
        <x:v>2</x:v>
      </x:c>
      <x:c r="K13" s="375" t="n">
        <x:f>SUMIFS('Календарный план'!$I$5:$I$77,'Календарный план'!$B$5:$B$77,$G13,'Календарный план'!$G$5:$G$77,K$7)</x:f>
        <x:v>14</x:v>
      </x:c>
      <x:c r="L13" s="375" t="n">
        <x:f>SUMIFS('Календарный план'!$I$5:$I$77,'Календарный план'!$B$5:$B$77,$G13,'Календарный план'!$G$5:$G$77,L$7)</x:f>
        <x:v>4</x:v>
      </x:c>
      <x:c r="M13" s="375" t="n">
        <x:f>SUM(H13:L13)</x:f>
        <x:v>21</x:v>
      </x:c>
    </x:row>
    <x:row r="14">
      <x:c r="A14" s="364" t="str">
        <x:v>PM</x:v>
      </x:c>
      <x:c r="B14" s="365" t="n">
        <x:v>1500</x:v>
      </x:c>
      <x:c r="C14" s="365" t="n">
        <x:f>SUMIF('Календарный план'!$G$5:$G$77,A14,'Календарный план'!$I$5:$I$77)</x:f>
        <x:v>20</x:v>
      </x:c>
      <x:c r="D14" s="365" t="n">
        <x:f>B14*C14</x:f>
        <x:v>30000</x:v>
      </x:c>
      <x:c r="E14" s="373"/>
      <x:c r="F14" s="234"/>
      <x:c r="G14" s="364" t="str">
        <x:v>C2.1</x:v>
      </x:c>
      <x:c r="H14" s="375" t="n">
        <x:f>SUMIFS('Календарный план'!$I$5:$I$77,'Календарный план'!$B$5:$B$77,$G14,'Календарный план'!$G$5:$G$77,H$7)</x:f>
        <x:v>1</x:v>
      </x:c>
      <x:c r="I14" s="375" t="n">
        <x:f>SUMIFS('Календарный план'!$I$5:$I$77,'Календарный план'!$B$5:$B$77,$G14,'Календарный план'!$G$5:$G$77,I$7)</x:f>
        <x:v>1</x:v>
      </x:c>
      <x:c r="J14" s="375" t="n">
        <x:f>SUMIFS('Календарный план'!$I$5:$I$77,'Календарный план'!$B$5:$B$77,$G14,'Календарный план'!$G$5:$G$77,J$7)</x:f>
        <x:v>2</x:v>
      </x:c>
      <x:c r="K14" s="375" t="n">
        <x:f>SUMIFS('Календарный план'!$I$5:$I$77,'Календарный план'!$B$5:$B$77,$G14,'Календарный план'!$G$5:$G$77,K$7)</x:f>
        <x:v>14</x:v>
      </x:c>
      <x:c r="L14" s="375" t="n">
        <x:f>SUMIFS('Календарный план'!$I$5:$I$77,'Календарный план'!$B$5:$B$77,$G14,'Календарный план'!$G$5:$G$77,L$7)</x:f>
        <x:v>3</x:v>
      </x:c>
      <x:c r="M14" s="375" t="n">
        <x:f>SUM(H14:L14)</x:f>
        <x:v>21</x:v>
      </x:c>
    </x:row>
    <x:row r="15">
      <x:c r="A15" s="364" t="str">
        <x:v>AN</x:v>
      </x:c>
      <x:c r="B15" s="365" t="n">
        <x:v>1000</x:v>
      </x:c>
      <x:c r="C15" s="365" t="n">
        <x:f>SUMIF('Календарный план'!$G$5:$G$77,A15,'Календарный план'!$I$5:$I$77)</x:f>
        <x:v>28</x:v>
      </x:c>
      <x:c r="D15" s="365" t="n">
        <x:f>B15*C15</x:f>
        <x:v>28000</x:v>
      </x:c>
      <x:c r="E15" s="373"/>
      <x:c r="F15" s="234"/>
      <x:c r="G15" s="364" t="str">
        <x:v>C2.2</x:v>
      </x:c>
      <x:c r="H15" s="375" t="n">
        <x:f>SUMIFS('Календарный план'!$I$5:$I$77,'Календарный план'!$B$5:$B$77,$G15,'Календарный план'!$G$5:$G$77,H$7)</x:f>
        <x:v>1</x:v>
      </x:c>
      <x:c r="I15" s="375" t="n">
        <x:f>SUMIFS('Календарный план'!$I$5:$I$77,'Календарный план'!$B$5:$B$77,$G15,'Календарный план'!$G$5:$G$77,I$7)</x:f>
        <x:v>1</x:v>
      </x:c>
      <x:c r="J15" s="375" t="n">
        <x:f>SUMIFS('Календарный план'!$I$5:$I$77,'Календарный план'!$B$5:$B$77,$G15,'Календарный план'!$G$5:$G$77,J$7)</x:f>
        <x:v>2</x:v>
      </x:c>
      <x:c r="K15" s="375" t="n">
        <x:f>SUMIFS('Календарный план'!$I$5:$I$77,'Календарный план'!$B$5:$B$77,$G15,'Календарный план'!$G$5:$G$77,K$7)</x:f>
        <x:v>14</x:v>
      </x:c>
      <x:c r="L15" s="375" t="n">
        <x:f>SUMIFS('Календарный план'!$I$5:$I$77,'Календарный план'!$B$5:$B$77,$G15,'Календарный план'!$G$5:$G$77,L$7)</x:f>
        <x:v>3</x:v>
      </x:c>
      <x:c r="M15" s="375" t="n">
        <x:f>SUM(H15:L15)</x:f>
        <x:v>21</x:v>
      </x:c>
    </x:row>
    <x:row r="16">
      <x:c r="A16" s="364" t="str">
        <x:v>ARC</x:v>
      </x:c>
      <x:c r="B16" s="365" t="n">
        <x:v>1400</x:v>
      </x:c>
      <x:c r="C16" s="365" t="n">
        <x:f>SUMIF('Календарный план'!$G$5:$G$77,A16,'Календарный план'!$I$5:$I$77)</x:f>
        <x:v>34</x:v>
      </x:c>
      <x:c r="D16" s="365" t="n">
        <x:f>B16*C16</x:f>
        <x:v>47600</x:v>
      </x:c>
      <x:c r="E16" s="373"/>
      <x:c r="F16" s="234"/>
      <x:c r="G16" s="364" t="str">
        <x:v>C3.1</x:v>
      </x:c>
      <x:c r="H16" s="375" t="n">
        <x:f>SUMIFS('Календарный план'!$I$5:$I$77,'Календарный план'!$B$5:$B$77,$G16,'Календарный план'!$G$5:$G$77,H$7)</x:f>
        <x:v>1</x:v>
      </x:c>
      <x:c r="I16" s="375" t="n">
        <x:f>SUMIFS('Календарный план'!$I$5:$I$77,'Календарный план'!$B$5:$B$77,$G16,'Календарный план'!$G$5:$G$77,I$7)</x:f>
        <x:v>1</x:v>
      </x:c>
      <x:c r="J16" s="375" t="n">
        <x:f>SUMIFS('Календарный план'!$I$5:$I$77,'Календарный план'!$B$5:$B$77,$G16,'Календарный план'!$G$5:$G$77,J$7)</x:f>
        <x:v>2</x:v>
      </x:c>
      <x:c r="K16" s="375" t="n">
        <x:f>SUMIFS('Календарный план'!$I$5:$I$77,'Календарный план'!$B$5:$B$77,$G16,'Календарный план'!$G$5:$G$77,K$7)</x:f>
        <x:v>14</x:v>
      </x:c>
      <x:c r="L16" s="375" t="n">
        <x:f>SUMIFS('Календарный план'!$I$5:$I$77,'Календарный план'!$B$5:$B$77,$G16,'Календарный план'!$G$5:$G$77,L$7)</x:f>
        <x:v>3</x:v>
      </x:c>
      <x:c r="M16" s="375" t="n">
        <x:f>SUM(H16:L16)</x:f>
        <x:v>21</x:v>
      </x:c>
    </x:row>
    <x:row r="17">
      <x:c r="A17" s="364" t="str">
        <x:v>DEV</x:v>
      </x:c>
      <x:c r="B17" s="365" t="n">
        <x:v>1100</x:v>
      </x:c>
      <x:c r="C17" s="365" t="n">
        <x:f>SUMIF('Календарный план'!$G$5:$G$77,A17,'Календарный план'!$I$5:$I$77)</x:f>
        <x:v>120</x:v>
      </x:c>
      <x:c r="D17" s="365" t="n">
        <x:f>B17*C17</x:f>
        <x:v>132000</x:v>
      </x:c>
      <x:c r="E17" s="373"/>
      <x:c r="F17" s="234"/>
      <x:c r="G17" s="364" t="str">
        <x:v>C3.2</x:v>
      </x:c>
      <x:c r="H17" s="375" t="n">
        <x:f>SUMIFS('Календарный план'!$I$5:$I$77,'Календарный план'!$B$5:$B$77,$G17,'Календарный план'!$G$5:$G$77,H$7)</x:f>
        <x:v>1</x:v>
      </x:c>
      <x:c r="I17" s="375" t="n">
        <x:f>SUMIFS('Календарный план'!$I$5:$I$77,'Календарный план'!$B$5:$B$77,$G17,'Календарный план'!$G$5:$G$77,I$7)</x:f>
        <x:v>0</x:v>
      </x:c>
      <x:c r="J17" s="375" t="n">
        <x:f>SUMIFS('Календарный план'!$I$5:$I$77,'Календарный план'!$B$5:$B$77,$G17,'Календарный план'!$G$5:$G$77,J$7)</x:f>
        <x:v>2</x:v>
      </x:c>
      <x:c r="K17" s="375" t="n">
        <x:f>SUMIFS('Календарный план'!$I$5:$I$77,'Календарный план'!$B$5:$B$77,$G17,'Календарный план'!$G$5:$G$77,K$7)</x:f>
        <x:v>14</x:v>
      </x:c>
      <x:c r="L17" s="375" t="n">
        <x:f>SUMIFS('Календарный план'!$I$5:$I$77,'Календарный план'!$B$5:$B$77,$G17,'Календарный план'!$G$5:$G$77,L$7)</x:f>
        <x:v>4</x:v>
      </x:c>
      <x:c r="M17" s="375" t="n">
        <x:f>SUM(H17:L17)</x:f>
        <x:v>21</x:v>
      </x:c>
    </x:row>
    <x:row r="18">
      <x:c r="A18" s="364" t="str">
        <x:v>QA</x:v>
      </x:c>
      <x:c r="B18" s="365" t="n">
        <x:v>900</x:v>
      </x:c>
      <x:c r="C18" s="365" t="n">
        <x:f>SUMIF('Календарный план'!$G$5:$G$77,A18,'Календарный план'!$I$5:$I$77)</x:f>
        <x:v>40</x:v>
      </x:c>
      <x:c r="D18" s="365" t="n">
        <x:f>B18*C18</x:f>
        <x:v>36000</x:v>
      </x:c>
      <x:c r="E18" s="373"/>
      <x:c r="F18" s="234"/>
      <x:c r="G18" s="364" t="str">
        <x:v>T1</x:v>
      </x:c>
      <x:c r="H18" s="375" t="n">
        <x:f>SUMIFS('Календарный план'!$I$5:$I$77,'Календарный план'!$B$5:$B$77,$G18,'Календарный план'!$G$5:$G$77,H$7)</x:f>
        <x:v>2</x:v>
      </x:c>
      <x:c r="I18" s="375" t="n">
        <x:f>SUMIFS('Календарный план'!$I$5:$I$77,'Календарный план'!$B$5:$B$77,$G18,'Календарный план'!$G$5:$G$77,I$7)</x:f>
        <x:v>0</x:v>
      </x:c>
      <x:c r="J18" s="375" t="n">
        <x:f>SUMIFS('Календарный план'!$I$5:$I$77,'Календарный план'!$B$5:$B$77,$G18,'Календарный план'!$G$5:$G$77,J$7)</x:f>
        <x:v>1</x:v>
      </x:c>
      <x:c r="K18" s="375" t="n">
        <x:f>SUMIFS('Календарный план'!$I$5:$I$77,'Календарный план'!$B$5:$B$77,$G18,'Календарный план'!$G$5:$G$77,K$7)</x:f>
        <x:v>4</x:v>
      </x:c>
      <x:c r="L18" s="375" t="n">
        <x:f>SUMIFS('Календарный план'!$I$5:$I$77,'Календарный план'!$B$5:$B$77,$G18,'Календарный план'!$G$5:$G$77,L$7)</x:f>
        <x:v>7</x:v>
      </x:c>
      <x:c r="M18" s="375" t="n">
        <x:f>SUM(H18:L18)</x:f>
        <x:v>14</x:v>
      </x:c>
    </x:row>
    <x:row r="19">
      <x:c r="A19" s="368" t="str">
        <x:v>Итого</x:v>
      </x:c>
      <x:c r="B19" s="369"/>
      <x:c r="C19" s="369" t="n">
        <x:f>SUM(C14:C18)</x:f>
        <x:v>242</x:v>
      </x:c>
      <x:c r="D19" s="369" t="n">
        <x:f>SUM(D14:D18)</x:f>
        <x:v>273600</x:v>
      </x:c>
      <x:c r="E19" s="373"/>
      <x:c r="F19" s="234"/>
      <x:c r="G19" s="364" t="str">
        <x:v>T2</x:v>
      </x:c>
      <x:c r="H19" s="375" t="n">
        <x:f>SUMIFS('Календарный план'!$I$5:$I$77,'Календарный план'!$B$5:$B$77,$G19,'Календарный план'!$G$5:$G$77,H$7)</x:f>
        <x:v>2</x:v>
      </x:c>
      <x:c r="I19" s="375" t="n">
        <x:f>SUMIFS('Календарный план'!$I$5:$I$77,'Календарный план'!$B$5:$B$77,$G19,'Календарный план'!$G$5:$G$77,I$7)</x:f>
        <x:v>0</x:v>
      </x:c>
      <x:c r="J19" s="375" t="n">
        <x:f>SUMIFS('Календарный план'!$I$5:$I$77,'Календарный план'!$B$5:$B$77,$G19,'Календарный план'!$G$5:$G$77,J$7)</x:f>
        <x:v>3</x:v>
      </x:c>
      <x:c r="K19" s="375" t="n">
        <x:f>SUMIFS('Календарный план'!$I$5:$I$77,'Календарный план'!$B$5:$B$77,$G19,'Календарный план'!$G$5:$G$77,K$7)</x:f>
        <x:v>8</x:v>
      </x:c>
      <x:c r="L19" s="375" t="n">
        <x:f>SUMIFS('Календарный план'!$I$5:$I$77,'Календарный план'!$B$5:$B$77,$G19,'Календарный план'!$G$5:$G$77,L$7)</x:f>
        <x:v>1</x:v>
      </x:c>
      <x:c r="M19" s="375" t="n">
        <x:f>SUM(H19:L19)</x:f>
        <x:v>14</x:v>
      </x:c>
    </x:row>
    <x:row r="20">
      <x:c r="A20" s="233"/>
      <x:c r="B20" s="234"/>
      <x:c r="C20" s="234"/>
      <x:c r="D20" s="234"/>
      <x:c r="E20" s="234"/>
      <x:c r="F20" s="234"/>
      <x:c r="G20" s="364" t="str">
        <x:v>T3</x:v>
      </x:c>
      <x:c r="H20" s="375" t="n">
        <x:f>SUMIFS('Календарный план'!$I$5:$I$77,'Календарный план'!$B$5:$B$77,$G20,'Календарный план'!$G$5:$G$77,H$7)</x:f>
        <x:v>2</x:v>
      </x:c>
      <x:c r="I20" s="375" t="n">
        <x:f>SUMIFS('Календарный план'!$I$5:$I$77,'Календарный план'!$B$5:$B$77,$G20,'Календарный план'!$G$5:$G$77,I$7)</x:f>
        <x:v>2</x:v>
      </x:c>
      <x:c r="J20" s="375" t="n">
        <x:f>SUMIFS('Календарный план'!$I$5:$I$77,'Календарный план'!$B$5:$B$77,$G20,'Календарный план'!$G$5:$G$77,J$7)</x:f>
        <x:v>0</x:v>
      </x:c>
      <x:c r="K20" s="375" t="n">
        <x:f>SUMIFS('Календарный план'!$I$5:$I$77,'Календарный план'!$B$5:$B$77,$G20,'Календарный план'!$G$5:$G$77,K$7)</x:f>
        <x:v>6</x:v>
      </x:c>
      <x:c r="L20" s="375" t="n">
        <x:f>SUMIFS('Календарный план'!$I$5:$I$77,'Календарный план'!$B$5:$B$77,$G20,'Календарный план'!$G$5:$G$77,L$7)</x:f>
        <x:v>4</x:v>
      </x:c>
      <x:c r="M20" s="375" t="n">
        <x:f>SUM(H20:L20)</x:f>
        <x:v>14</x:v>
      </x:c>
    </x:row>
    <x:row r="21">
      <x:c r="A21" s="233"/>
      <x:c r="B21" s="234"/>
      <x:c r="C21" s="234"/>
      <x:c r="D21" s="234"/>
      <x:c r="E21" s="234"/>
      <x:c r="F21" s="234"/>
      <x:c r="G21" s="368" t="str">
        <x:v>Итого</x:v>
      </x:c>
      <x:c r="H21" s="376" t="n">
        <x:f>SUM(H8:H20)</x:f>
        <x:v>20</x:v>
      </x:c>
      <x:c r="I21" s="376" t="n">
        <x:f>SUM(I8:I20)</x:f>
        <x:v>28</x:v>
      </x:c>
      <x:c r="J21" s="376" t="n">
        <x:f>SUM(J8:J20)</x:f>
        <x:v>34</x:v>
      </x:c>
      <x:c r="K21" s="376" t="n">
        <x:f>SUM(K8:K20)</x:f>
        <x:v>120</x:v>
      </x:c>
      <x:c r="L21" s="376" t="n">
        <x:f>SUM(L8:L20)</x:f>
        <x:v>40</x:v>
      </x:c>
      <x:c r="M21" s="376" t="n">
        <x:f>SUM(M8:M20)</x:f>
        <x:v>242</x:v>
      </x:c>
    </x:row>
    <x:row r="22" ht="18" customHeight="1">
      <x:c r="A22" s="451" t="str">
        <x:v>Коды ролей: PM — руководитель проекта; AN — аналитик; ARC — архитектор; DEV — разработчик; QA — специалист по качеству.</x:v>
      </x:c>
      <x:c r="B22" s="452"/>
      <x:c r="C22" s="452"/>
      <x:c r="D22" s="452"/>
      <x:c r="E22" s="452"/>
      <x:c r="F22" s="452"/>
      <x:c r="G22" s="452"/>
      <x:c r="H22" s="453"/>
      <x:c r="I22" s="453"/>
      <x:c r="J22" s="453"/>
      <x:c r="K22" s="453"/>
      <x:c r="L22" s="453"/>
      <x:c r="M22" s="454"/>
    </x:row>
    <x:row r="23">
      <x:c r="A23" s="233"/>
      <x:c r="B23" s="234"/>
      <x:c r="C23" s="234"/>
      <x:c r="D23" s="234"/>
      <x:c r="E23" s="234"/>
      <x:c r="F23" s="234"/>
      <x:c r="G23" s="234"/>
      <x:c r="H23" s="373"/>
      <x:c r="I23" s="373"/>
      <x:c r="J23" s="373"/>
      <x:c r="K23" s="373"/>
      <x:c r="L23" s="373"/>
      <x:c r="M23" s="377"/>
    </x:row>
    <x:row r="24" ht="30" customHeight="1">
      <x:c r="A24" s="233"/>
      <x:c r="B24" s="234"/>
      <x:c r="C24" s="234"/>
      <x:c r="D24" s="234"/>
      <x:c r="E24" s="234"/>
      <x:c r="F24" s="234"/>
      <x:c r="G24" s="253" t="str">
        <x:v>Итерация</x:v>
      </x:c>
      <x:c r="H24" s="374" t="str">
        <x:v>Рахматулин Р.Б.</x:v>
      </x:c>
      <x:c r="I24" s="374" t="str">
        <x:v>Дементьев Н.А.</x:v>
      </x:c>
      <x:c r="J24" s="374" t="str">
        <x:v>Разница</x:v>
      </x:c>
      <x:c r="K24" s="373"/>
      <x:c r="L24" s="373"/>
      <x:c r="M24" s="377"/>
    </x:row>
    <x:row r="25">
      <x:c r="A25" s="233"/>
      <x:c r="B25" s="234"/>
      <x:c r="C25" s="234"/>
      <x:c r="D25" s="234"/>
      <x:c r="E25" s="234"/>
      <x:c r="F25" s="234"/>
      <x:c r="G25" s="364" t="str">
        <x:v>I1</x:v>
      </x:c>
      <x:c r="H25" s="375" t="n">
        <x:f>SUMIFS('Календарный план'!$I$5:$I$77,'Календарный план'!$B$5:$B$77,$G25,'Календарный план'!$H$5:$H$77,H$24)</x:f>
        <x:v>6</x:v>
      </x:c>
      <x:c r="I25" s="375" t="n">
        <x:f>SUMIFS('Календарный план'!$I$5:$I$77,'Календарный план'!$B$5:$B$77,$G25,'Календарный план'!$H$5:$H$77,I$24)</x:f>
        <x:v>7</x:v>
      </x:c>
      <x:c r="J25" s="375" t="n">
        <x:f>ABS(H25-I25)</x:f>
        <x:v>1</x:v>
      </x:c>
      <x:c r="K25" s="373"/>
      <x:c r="L25" s="373"/>
      <x:c r="M25" s="377"/>
    </x:row>
    <x:row r="26">
      <x:c r="A26" s="233"/>
      <x:c r="B26" s="234"/>
      <x:c r="C26" s="234"/>
      <x:c r="D26" s="234"/>
      <x:c r="E26" s="234"/>
      <x:c r="F26" s="234"/>
      <x:c r="G26" s="364" t="str">
        <x:v>I2</x:v>
      </x:c>
      <x:c r="H26" s="375" t="n">
        <x:f>SUMIFS('Календарный план'!$I$5:$I$77,'Календарный план'!$B$5:$B$77,$G26,'Календарный план'!$H$5:$H$77,H$24)</x:f>
        <x:v>7</x:v>
      </x:c>
      <x:c r="I26" s="375" t="n">
        <x:f>SUMIFS('Календарный план'!$I$5:$I$77,'Календарный план'!$B$5:$B$77,$G26,'Календарный план'!$H$5:$H$77,I$24)</x:f>
        <x:v>6</x:v>
      </x:c>
      <x:c r="J26" s="375" t="n">
        <x:f>ABS(H26-I26)</x:f>
        <x:v>1</x:v>
      </x:c>
      <x:c r="K26" s="373"/>
      <x:c r="L26" s="373"/>
      <x:c r="M26" s="377"/>
    </x:row>
    <x:row r="27">
      <x:c r="A27" s="233"/>
      <x:c r="B27" s="234"/>
      <x:c r="C27" s="234"/>
      <x:c r="D27" s="234"/>
      <x:c r="E27" s="234"/>
      <x:c r="F27" s="234"/>
      <x:c r="G27" s="364" t="str">
        <x:v>E1</x:v>
      </x:c>
      <x:c r="H27" s="375" t="n">
        <x:f>SUMIFS('Календарный план'!$I$5:$I$77,'Календарный план'!$B$5:$B$77,$G27,'Календарный план'!$H$5:$H$77,H$24)</x:f>
        <x:v>12</x:v>
      </x:c>
      <x:c r="I27" s="375" t="n">
        <x:f>SUMIFS('Календарный план'!$I$5:$I$77,'Календарный план'!$B$5:$B$77,$G27,'Календарный план'!$H$5:$H$77,I$24)</x:f>
        <x:v>12</x:v>
      </x:c>
      <x:c r="J27" s="375" t="n">
        <x:f>ABS(H27-I27)</x:f>
        <x:v>0</x:v>
      </x:c>
      <x:c r="K27" s="373"/>
      <x:c r="L27" s="373"/>
      <x:c r="M27" s="377"/>
    </x:row>
    <x:row r="28">
      <x:c r="A28" s="233"/>
      <x:c r="B28" s="234"/>
      <x:c r="C28" s="234"/>
      <x:c r="D28" s="234"/>
      <x:c r="E28" s="234"/>
      <x:c r="F28" s="234"/>
      <x:c r="G28" s="364" t="str">
        <x:v>E2</x:v>
      </x:c>
      <x:c r="H28" s="375" t="n">
        <x:f>SUMIFS('Календарный план'!$I$5:$I$77,'Календарный план'!$B$5:$B$77,$G28,'Календарный план'!$H$5:$H$77,H$24)</x:f>
        <x:v>12</x:v>
      </x:c>
      <x:c r="I28" s="375" t="n">
        <x:f>SUMIFS('Календарный план'!$I$5:$I$77,'Календарный план'!$B$5:$B$77,$G28,'Календарный план'!$H$5:$H$77,I$24)</x:f>
        <x:v>12</x:v>
      </x:c>
      <x:c r="J28" s="375" t="n">
        <x:f>ABS(H28-I28)</x:f>
        <x:v>0</x:v>
      </x:c>
      <x:c r="K28" s="373"/>
      <x:c r="L28" s="373"/>
      <x:c r="M28" s="377"/>
    </x:row>
    <x:row r="29">
      <x:c r="A29" s="233"/>
      <x:c r="B29" s="234"/>
      <x:c r="C29" s="234"/>
      <x:c r="D29" s="234"/>
      <x:c r="E29" s="234"/>
      <x:c r="F29" s="234"/>
      <x:c r="G29" s="364" t="str">
        <x:v>C1.1</x:v>
      </x:c>
      <x:c r="H29" s="375" t="n">
        <x:f>SUMIFS('Календарный план'!$I$5:$I$77,'Календарный план'!$B$5:$B$77,$G29,'Календарный план'!$H$5:$H$77,H$24)</x:f>
        <x:v>11</x:v>
      </x:c>
      <x:c r="I29" s="375" t="n">
        <x:f>SUMIFS('Календарный план'!$I$5:$I$77,'Календарный план'!$B$5:$B$77,$G29,'Календарный план'!$H$5:$H$77,I$24)</x:f>
        <x:v>10</x:v>
      </x:c>
      <x:c r="J29" s="375" t="n">
        <x:f>ABS(H29-I29)</x:f>
        <x:v>1</x:v>
      </x:c>
      <x:c r="K29" s="373"/>
      <x:c r="L29" s="373"/>
      <x:c r="M29" s="377"/>
    </x:row>
    <x:row r="30">
      <x:c r="A30" s="233"/>
      <x:c r="B30" s="234"/>
      <x:c r="C30" s="234"/>
      <x:c r="D30" s="234"/>
      <x:c r="E30" s="234"/>
      <x:c r="F30" s="234"/>
      <x:c r="G30" s="364" t="str">
        <x:v>C1.2</x:v>
      </x:c>
      <x:c r="H30" s="375" t="n">
        <x:f>SUMIFS('Календарный план'!$I$5:$I$77,'Календарный план'!$B$5:$B$77,$G30,'Календарный план'!$H$5:$H$77,H$24)</x:f>
        <x:v>10</x:v>
      </x:c>
      <x:c r="I30" s="375" t="n">
        <x:f>SUMIFS('Календарный план'!$I$5:$I$77,'Календарный план'!$B$5:$B$77,$G30,'Календарный план'!$H$5:$H$77,I$24)</x:f>
        <x:v>11</x:v>
      </x:c>
      <x:c r="J30" s="375" t="n">
        <x:f>ABS(H30-I30)</x:f>
        <x:v>1</x:v>
      </x:c>
      <x:c r="K30" s="373"/>
      <x:c r="L30" s="373"/>
      <x:c r="M30" s="377"/>
    </x:row>
    <x:row r="31">
      <x:c r="A31" s="233"/>
      <x:c r="B31" s="234"/>
      <x:c r="C31" s="234"/>
      <x:c r="D31" s="234"/>
      <x:c r="E31" s="234"/>
      <x:c r="F31" s="234"/>
      <x:c r="G31" s="364" t="str">
        <x:v>C2.1</x:v>
      </x:c>
      <x:c r="H31" s="375" t="n">
        <x:f>SUMIFS('Календарный план'!$I$5:$I$77,'Календарный план'!$B$5:$B$77,$G31,'Календарный план'!$H$5:$H$77,H$24)</x:f>
        <x:v>11</x:v>
      </x:c>
      <x:c r="I31" s="375" t="n">
        <x:f>SUMIFS('Календарный план'!$I$5:$I$77,'Календарный план'!$B$5:$B$77,$G31,'Календарный план'!$H$5:$H$77,I$24)</x:f>
        <x:v>10</x:v>
      </x:c>
      <x:c r="J31" s="375" t="n">
        <x:f>ABS(H31-I31)</x:f>
        <x:v>1</x:v>
      </x:c>
      <x:c r="K31" s="373"/>
      <x:c r="L31" s="373"/>
      <x:c r="M31" s="377"/>
    </x:row>
    <x:row r="32">
      <x:c r="A32" s="233"/>
      <x:c r="B32" s="234"/>
      <x:c r="C32" s="234"/>
      <x:c r="D32" s="234"/>
      <x:c r="E32" s="234"/>
      <x:c r="F32" s="234"/>
      <x:c r="G32" s="364" t="str">
        <x:v>C2.2</x:v>
      </x:c>
      <x:c r="H32" s="375" t="n">
        <x:f>SUMIFS('Календарный план'!$I$5:$I$77,'Календарный план'!$B$5:$B$77,$G32,'Календарный план'!$H$5:$H$77,H$24)</x:f>
        <x:v>10</x:v>
      </x:c>
      <x:c r="I32" s="375" t="n">
        <x:f>SUMIFS('Календарный план'!$I$5:$I$77,'Календарный план'!$B$5:$B$77,$G32,'Календарный план'!$H$5:$H$77,I$24)</x:f>
        <x:v>11</x:v>
      </x:c>
      <x:c r="J32" s="375" t="n">
        <x:f>ABS(H32-I32)</x:f>
        <x:v>1</x:v>
      </x:c>
      <x:c r="K32" s="373"/>
      <x:c r="L32" s="373"/>
      <x:c r="M32" s="377"/>
    </x:row>
    <x:row r="33">
      <x:c r="A33" s="233"/>
      <x:c r="B33" s="234"/>
      <x:c r="C33" s="234"/>
      <x:c r="D33" s="234"/>
      <x:c r="E33" s="234"/>
      <x:c r="F33" s="234"/>
      <x:c r="G33" s="364" t="str">
        <x:v>C3.1</x:v>
      </x:c>
      <x:c r="H33" s="375" t="n">
        <x:f>SUMIFS('Календарный план'!$I$5:$I$77,'Календарный план'!$B$5:$B$77,$G33,'Календарный план'!$H$5:$H$77,H$24)</x:f>
        <x:v>11</x:v>
      </x:c>
      <x:c r="I33" s="375" t="n">
        <x:f>SUMIFS('Календарный план'!$I$5:$I$77,'Календарный план'!$B$5:$B$77,$G33,'Календарный план'!$H$5:$H$77,I$24)</x:f>
        <x:v>10</x:v>
      </x:c>
      <x:c r="J33" s="375" t="n">
        <x:f>ABS(H33-I33)</x:f>
        <x:v>1</x:v>
      </x:c>
      <x:c r="K33" s="373"/>
      <x:c r="L33" s="373"/>
      <x:c r="M33" s="377"/>
    </x:row>
    <x:row r="34">
      <x:c r="A34" s="233"/>
      <x:c r="B34" s="234"/>
      <x:c r="C34" s="234"/>
      <x:c r="D34" s="234"/>
      <x:c r="E34" s="234"/>
      <x:c r="F34" s="234"/>
      <x:c r="G34" s="364" t="str">
        <x:v>C3.2</x:v>
      </x:c>
      <x:c r="H34" s="375" t="n">
        <x:f>SUMIFS('Календарный план'!$I$5:$I$77,'Календарный план'!$B$5:$B$77,$G34,'Календарный план'!$H$5:$H$77,H$24)</x:f>
        <x:v>10</x:v>
      </x:c>
      <x:c r="I34" s="375" t="n">
        <x:f>SUMIFS('Календарный план'!$I$5:$I$77,'Календарный план'!$B$5:$B$77,$G34,'Календарный план'!$H$5:$H$77,I$24)</x:f>
        <x:v>11</x:v>
      </x:c>
      <x:c r="J34" s="375" t="n">
        <x:f>ABS(H34-I34)</x:f>
        <x:v>1</x:v>
      </x:c>
      <x:c r="K34" s="373"/>
      <x:c r="L34" s="373"/>
      <x:c r="M34" s="377"/>
    </x:row>
    <x:row r="35">
      <x:c r="A35" s="233"/>
      <x:c r="B35" s="234"/>
      <x:c r="C35" s="234"/>
      <x:c r="D35" s="234"/>
      <x:c r="E35" s="234"/>
      <x:c r="F35" s="234"/>
      <x:c r="G35" s="364" t="str">
        <x:v>T1</x:v>
      </x:c>
      <x:c r="H35" s="375" t="n">
        <x:f>SUMIFS('Календарный план'!$I$5:$I$77,'Календарный план'!$B$5:$B$77,$G35,'Календарный план'!$H$5:$H$77,H$24)</x:f>
        <x:v>7</x:v>
      </x:c>
      <x:c r="I35" s="375" t="n">
        <x:f>SUMIFS('Календарный план'!$I$5:$I$77,'Календарный план'!$B$5:$B$77,$G35,'Календарный план'!$H$5:$H$77,I$24)</x:f>
        <x:v>7</x:v>
      </x:c>
      <x:c r="J35" s="375" t="n">
        <x:f>ABS(H35-I35)</x:f>
        <x:v>0</x:v>
      </x:c>
      <x:c r="K35" s="373"/>
      <x:c r="L35" s="373"/>
      <x:c r="M35" s="377"/>
    </x:row>
    <x:row r="36">
      <x:c r="A36" s="233"/>
      <x:c r="B36" s="234"/>
      <x:c r="C36" s="234"/>
      <x:c r="D36" s="234"/>
      <x:c r="E36" s="234"/>
      <x:c r="F36" s="234"/>
      <x:c r="G36" s="364" t="str">
        <x:v>T2</x:v>
      </x:c>
      <x:c r="H36" s="375" t="n">
        <x:f>SUMIFS('Календарный план'!$I$5:$I$77,'Календарный план'!$B$5:$B$77,$G36,'Календарный план'!$H$5:$H$77,H$24)</x:f>
        <x:v>7</x:v>
      </x:c>
      <x:c r="I36" s="375" t="n">
        <x:f>SUMIFS('Календарный план'!$I$5:$I$77,'Календарный план'!$B$5:$B$77,$G36,'Календарный план'!$H$5:$H$77,I$24)</x:f>
        <x:v>7</x:v>
      </x:c>
      <x:c r="J36" s="375" t="n">
        <x:f>ABS(H36-I36)</x:f>
        <x:v>0</x:v>
      </x:c>
      <x:c r="K36" s="373"/>
      <x:c r="L36" s="373"/>
      <x:c r="M36" s="377"/>
    </x:row>
    <x:row r="37">
      <x:c r="A37" s="233"/>
      <x:c r="B37" s="234"/>
      <x:c r="C37" s="234"/>
      <x:c r="D37" s="234"/>
      <x:c r="E37" s="234"/>
      <x:c r="F37" s="234"/>
      <x:c r="G37" s="364" t="str">
        <x:v>T3</x:v>
      </x:c>
      <x:c r="H37" s="375" t="n">
        <x:f>SUMIFS('Календарный план'!$I$5:$I$77,'Календарный план'!$B$5:$B$77,$G37,'Календарный план'!$H$5:$H$77,H$24)</x:f>
        <x:v>7</x:v>
      </x:c>
      <x:c r="I37" s="375" t="n">
        <x:f>SUMIFS('Календарный план'!$I$5:$I$77,'Календарный план'!$B$5:$B$77,$G37,'Календарный план'!$H$5:$H$77,I$24)</x:f>
        <x:v>7</x:v>
      </x:c>
      <x:c r="J37" s="375" t="n">
        <x:f>ABS(H37-I37)</x:f>
        <x:v>0</x:v>
      </x:c>
      <x:c r="K37" s="373"/>
      <x:c r="L37" s="373"/>
      <x:c r="M37" s="377"/>
    </x:row>
    <x:row r="38">
      <x:c r="A38" s="326"/>
      <x:c r="B38" s="327"/>
      <x:c r="C38" s="327"/>
      <x:c r="D38" s="327"/>
      <x:c r="E38" s="327"/>
      <x:c r="F38" s="327"/>
      <x:c r="G38" s="368" t="str">
        <x:v>Итого</x:v>
      </x:c>
      <x:c r="H38" s="376" t="n">
        <x:f>SUM(H25:H37)</x:f>
        <x:v>121</x:v>
      </x:c>
      <x:c r="I38" s="376" t="n">
        <x:f>SUM(I25:I37)</x:f>
        <x:v>121</x:v>
      </x:c>
      <x:c r="J38" s="376" t="n">
        <x:f>ABS(H38-I38)</x:f>
        <x:v>0</x:v>
      </x:c>
      <x:c r="K38" s="378"/>
      <x:c r="L38" s="378"/>
      <x:c r="M38" s="379"/>
    </x:row>
  </x:sheetData>
  <x:mergeCells>
    <x:mergeCell ref="A1:M1"/>
    <x:mergeCell ref="A3:C3"/>
    <x:mergeCell ref="E3:G3"/>
    <x:mergeCell ref="I3:K3"/>
    <x:mergeCell ref="A4:C4"/>
    <x:mergeCell ref="E4:G4"/>
    <x:mergeCell ref="I4:K4"/>
    <x:mergeCell ref="A22:M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8" hidden="0" customWidth="1"/>
    <x:col min="2" max="2" width="10.5600004196167" hidden="0" customWidth="1"/>
    <x:col min="3" max="3" width="15.5" hidden="0" customWidth="1"/>
    <x:col min="4" max="4" width="15.5" hidden="0" customWidth="1"/>
    <x:col min="5" max="5" width="6.110000133514404" hidden="0" customWidth="1"/>
    <x:col min="6" max="6" width="12.220000267028809" hidden="0" customWidth="1"/>
    <x:col min="7" max="7" width="12.220000267028809" hidden="0" customWidth="1"/>
    <x:col min="8" max="8" width="7.78000020980835" hidden="0" customWidth="1"/>
    <x:col min="9" max="9" width="27.219999313354492" hidden="0" customWidth="1"/>
    <x:col min="10" max="10" width="2" hidden="0" customWidth="1"/>
    <x:col min="11" max="11" width="4.110000133514404" hidden="0" customWidth="1"/>
    <x:col min="12" max="12" width="4.110000133514404" hidden="0" customWidth="1"/>
    <x:col min="13" max="13" width="4.110000133514404" hidden="0" customWidth="1"/>
    <x:col min="14" max="14" width="4.110000133514404" hidden="0" customWidth="1"/>
    <x:col min="15" max="15" width="4.110000133514404" hidden="0" customWidth="1"/>
    <x:col min="16" max="16" width="4.110000133514404" hidden="0" customWidth="1"/>
    <x:col min="17" max="17" width="4.110000133514404" hidden="0" customWidth="1"/>
    <x:col min="18" max="18" width="4.110000133514404" hidden="0" customWidth="1"/>
    <x:col min="19" max="19" width="4.110000133514404" hidden="0" customWidth="1"/>
    <x:col min="20" max="20" width="4.110000133514404" hidden="0" customWidth="1"/>
    <x:col min="21" max="21" width="4.110000133514404" hidden="0" customWidth="1"/>
    <x:col min="22" max="22" width="4.110000133514404" hidden="0" customWidth="1"/>
    <x:col min="23" max="23" width="4.110000133514404" hidden="0" customWidth="1"/>
    <x:col min="24" max="24" width="4.110000133514404" hidden="0" customWidth="1"/>
    <x:col min="25" max="25" width="4.110000133514404" hidden="0" customWidth="1"/>
    <x:col min="26" max="26" width="4.110000133514404" hidden="0" customWidth="1"/>
    <x:col min="27" max="27" width="4.110000133514404" hidden="0" customWidth="1"/>
    <x:col min="28" max="28" width="4.110000133514404" hidden="0" customWidth="1"/>
    <x:col min="29" max="29" width="4.110000133514404" hidden="0" customWidth="1"/>
    <x:col min="30" max="30" width="4.110000133514404" hidden="0" customWidth="1"/>
    <x:col min="31" max="31" width="4.110000133514404" hidden="0" customWidth="1"/>
    <x:col min="32" max="32" width="4.110000133514404" hidden="0" customWidth="1"/>
    <x:col min="33" max="33" width="4.110000133514404" hidden="0" customWidth="1"/>
    <x:col min="34" max="34" width="4.110000133514404" hidden="0" customWidth="1"/>
    <x:col min="35" max="35" width="4.110000133514404" hidden="0" customWidth="1"/>
    <x:col min="36" max="36" width="4.110000133514404" hidden="0" customWidth="1"/>
    <x:col min="37" max="37" width="4.110000133514404" hidden="0" customWidth="1"/>
    <x:col min="38" max="38" width="4.110000133514404" hidden="0" customWidth="1"/>
    <x:col min="39" max="39" width="4.110000133514404" hidden="0" customWidth="1"/>
    <x:col min="40" max="40" width="4.110000133514404" hidden="0" customWidth="1"/>
    <x:col min="41" max="41" width="4.110000133514404" hidden="0" customWidth="1"/>
    <x:col min="42" max="42" width="4.110000133514404" hidden="0" customWidth="1"/>
    <x:col min="43" max="43" width="4.110000133514404" hidden="0" customWidth="1"/>
    <x:col min="44" max="44" width="4.110000133514404" hidden="0" customWidth="1"/>
    <x:col min="45" max="45" width="4.110000133514404" hidden="0" customWidth="1"/>
    <x:col min="46" max="46" width="4.110000133514404" hidden="0" customWidth="1"/>
    <x:col min="47" max="47" width="4.110000133514404" hidden="0" customWidth="1"/>
    <x:col min="48" max="48" width="4.110000133514404" hidden="0" customWidth="1"/>
  </x:cols>
  <x:sheetData>
    <x:row r="1" ht="30" customHeight="1">
      <x:c r="A1" s="239" t="str">
        <x:v>Диаграмма Ганта — итерации Drakkar ERP</x:v>
      </x:c>
      <x:c r="B1" s="240" t="str">
        <x:v>Диаграмма Ганта — итерации Drakkar ERP</x:v>
      </x:c>
      <x:c r="C1" s="240" t="str">
        <x:v>Диаграмма Ганта — итерации Drakkar ERP</x:v>
      </x:c>
      <x:c r="D1" s="240" t="str">
        <x:v>Диаграмма Ганта — итерации Drakkar ERP</x:v>
      </x:c>
      <x:c r="E1" s="240" t="str">
        <x:v>Диаграмма Ганта — итерации Drakkar ERP</x:v>
      </x:c>
      <x:c r="F1" s="240" t="str">
        <x:v>Диаграмма Ганта — итерации Drakkar ERP</x:v>
      </x:c>
      <x:c r="G1" s="240" t="str">
        <x:v>Диаграмма Ганта — итерации Drakkar ERP</x:v>
      </x:c>
      <x:c r="H1" s="240" t="str">
        <x:v>Диаграмма Ганта — итерации Drakkar ERP</x:v>
      </x:c>
      <x:c r="I1" s="240" t="str">
        <x:v>Диаграмма Ганта — итерации Drakkar ERP</x:v>
      </x:c>
      <x:c r="J1" s="240" t="str">
        <x:v>Диаграмма Ганта — итерации Drakkar ERP</x:v>
      </x:c>
      <x:c r="K1" s="240" t="str">
        <x:v>Диаграмма Ганта — итерации Drakkar ERP</x:v>
      </x:c>
      <x:c r="L1" s="240" t="str">
        <x:v>Диаграмма Ганта — итерации Drakkar ERP</x:v>
      </x:c>
      <x:c r="M1" s="240" t="str">
        <x:v>Диаграмма Ганта — итерации Drakkar ERP</x:v>
      </x:c>
      <x:c r="N1" s="240" t="str">
        <x:v>Диаграмма Ганта — итерации Drakkar ERP</x:v>
      </x:c>
      <x:c r="O1" s="240" t="str">
        <x:v>Диаграмма Ганта — итерации Drakkar ERP</x:v>
      </x:c>
      <x:c r="P1" s="240" t="str">
        <x:v>Диаграмма Ганта — итерации Drakkar ERP</x:v>
      </x:c>
      <x:c r="Q1" s="240" t="str">
        <x:v>Диаграмма Ганта — итерации Drakkar ERP</x:v>
      </x:c>
      <x:c r="R1" s="240" t="str">
        <x:v>Диаграмма Ганта — итерации Drakkar ERP</x:v>
      </x:c>
      <x:c r="S1" s="240" t="str">
        <x:v>Диаграмма Ганта — итерации Drakkar ERP</x:v>
      </x:c>
      <x:c r="T1" s="240" t="str">
        <x:v>Диаграмма Ганта — итерации Drakkar ERP</x:v>
      </x:c>
      <x:c r="U1" s="240" t="str">
        <x:v>Диаграмма Ганта — итерации Drakkar ERP</x:v>
      </x:c>
      <x:c r="V1" s="240" t="str">
        <x:v>Диаграмма Ганта — итерации Drakkar ERP</x:v>
      </x:c>
      <x:c r="W1" s="240" t="str">
        <x:v>Диаграмма Ганта — итерации Drakkar ERP</x:v>
      </x:c>
      <x:c r="X1" s="240" t="str">
        <x:v>Диаграмма Ганта — итерации Drakkar ERP</x:v>
      </x:c>
      <x:c r="Y1" s="240" t="str">
        <x:v>Диаграмма Ганта — итерации Drakkar ERP</x:v>
      </x:c>
      <x:c r="Z1" s="240" t="str">
        <x:v>Диаграмма Ганта — итерации Drakkar ERP</x:v>
      </x:c>
      <x:c r="AA1" s="240" t="str">
        <x:v>Диаграмма Ганта — итерации Drakkar ERP</x:v>
      </x:c>
      <x:c r="AB1" s="240" t="str">
        <x:v>Диаграмма Ганта — итерации Drakkar ERP</x:v>
      </x:c>
      <x:c r="AC1" s="240" t="str">
        <x:v>Диаграмма Ганта — итерации Drakkar ERP</x:v>
      </x:c>
      <x:c r="AD1" s="240" t="str">
        <x:v>Диаграмма Ганта — итерации Drakkar ERP</x:v>
      </x:c>
      <x:c r="AE1" s="240" t="str">
        <x:v>Диаграмма Ганта — итерации Drakkar ERP</x:v>
      </x:c>
      <x:c r="AF1" s="240" t="str">
        <x:v>Диаграмма Ганта — итерации Drakkar ERP</x:v>
      </x:c>
      <x:c r="AG1" s="240" t="str">
        <x:v>Диаграмма Ганта — итерации Drakkar ERP</x:v>
      </x:c>
      <x:c r="AH1" s="240" t="str">
        <x:v>Диаграмма Ганта — итерации Drakkar ERP</x:v>
      </x:c>
      <x:c r="AI1" s="240" t="str">
        <x:v>Диаграмма Ганта — итерации Drakkar ERP</x:v>
      </x:c>
      <x:c r="AJ1" s="240" t="str">
        <x:v>Диаграмма Ганта — итерации Drakkar ERP</x:v>
      </x:c>
      <x:c r="AK1" s="240" t="str">
        <x:v>Диаграмма Ганта — итерации Drakkar ERP</x:v>
      </x:c>
      <x:c r="AL1" s="240" t="str">
        <x:v>Диаграмма Ганта — итерации Drakkar ERP</x:v>
      </x:c>
      <x:c r="AM1" s="240" t="str">
        <x:v>Диаграмма Ганта — итерации Drakkar ERP</x:v>
      </x:c>
      <x:c r="AN1" s="240" t="str">
        <x:v>Диаграмма Ганта — итерации Drakkar ERP</x:v>
      </x:c>
      <x:c r="AO1" s="240" t="str">
        <x:v>Диаграмма Ганта — итерации Drakkar ERP</x:v>
      </x:c>
      <x:c r="AP1" s="240" t="str">
        <x:v>Диаграмма Ганта — итерации Drakkar ERP</x:v>
      </x:c>
      <x:c r="AQ1" s="240" t="str">
        <x:v>Диаграмма Ганта — итерации Drakkar ERP</x:v>
      </x:c>
      <x:c r="AR1" s="240" t="str">
        <x:v>Диаграмма Ганта — итерации Drakkar ERP</x:v>
      </x:c>
      <x:c r="AS1" s="240" t="str">
        <x:v>Диаграмма Ганта — итерации Drakkar ERP</x:v>
      </x:c>
      <x:c r="AT1" s="240" t="str">
        <x:v>Диаграмма Ганта — итерации Drakkar ERP</x:v>
      </x:c>
      <x:c r="AU1" s="240" t="str">
        <x:v>Диаграмма Ганта — итерации Drakkar ERP</x:v>
      </x:c>
      <x:c r="AV1" s="241" t="str">
        <x:v>Диаграмма Ганта — итерации Drakkar ERP</x:v>
      </x:c>
    </x:row>
    <x:row r="2" ht="18" customHeight="1">
      <x:c r="A2" s="245" t="str">
        <x:v>Шкала по неделям. UC — вариант использования. Часы исполнителей рассчитываются из календарно-ресурсного плана.</x:v>
      </x:c>
      <x:c r="B2" s="246" t="str">
        <x:v>Шкала по неделям. Часы исполнителей рассчитываются из календарно-ресурсного плана.</x:v>
      </x:c>
      <x:c r="C2" s="246" t="str">
        <x:v>Шкала по неделям. Часы исполнителей рассчитываются из календарно-ресурсного плана.</x:v>
      </x:c>
      <x:c r="D2" s="246" t="str">
        <x:v>Шкала по неделям. Часы исполнителей рассчитываются из календарно-ресурсного плана.</x:v>
      </x:c>
      <x:c r="E2" s="246" t="str">
        <x:v>Шкала по неделям. Часы исполнителей рассчитываются из календарно-ресурсного плана.</x:v>
      </x:c>
      <x:c r="F2" s="246" t="str">
        <x:v>Шкала по неделям. Часы исполнителей рассчитываются из календарно-ресурсного плана.</x:v>
      </x:c>
      <x:c r="G2" s="246" t="str">
        <x:v>Шкала по неделям. Часы исполнителей рассчитываются из календарно-ресурсного плана.</x:v>
      </x:c>
      <x:c r="H2" s="246" t="str">
        <x:v>Шкала по неделям. Часы исполнителей рассчитываются из календарно-ресурсного плана.</x:v>
      </x:c>
      <x:c r="I2" s="247" t="str">
        <x:v>Шкала по неделям. Часы исполнителей рассчитываются из календарно-ресурсного плана.</x:v>
      </x:c>
      <x:c r="J2" s="234"/>
      <x:c r="K2" s="234"/>
      <x:c r="L2" s="234"/>
      <x:c r="M2" s="234"/>
      <x:c r="N2" s="234"/>
      <x:c r="O2" s="234"/>
      <x:c r="P2" s="234"/>
      <x:c r="Q2" s="234"/>
      <x:c r="R2" s="234"/>
      <x:c r="S2" s="234"/>
      <x:c r="T2" s="234"/>
      <x:c r="U2" s="234"/>
      <x:c r="V2" s="234"/>
      <x:c r="W2" s="234"/>
      <x:c r="X2" s="234"/>
      <x:c r="Y2" s="234"/>
      <x:c r="Z2" s="234"/>
      <x:c r="AA2" s="234"/>
      <x:c r="AB2" s="234"/>
      <x:c r="AC2" s="234"/>
      <x:c r="AD2" s="234"/>
      <x:c r="AE2" s="234"/>
      <x:c r="AF2" s="234"/>
      <x:c r="AG2" s="234"/>
      <x:c r="AH2" s="234"/>
      <x:c r="AI2" s="234"/>
      <x:c r="AJ2" s="234"/>
      <x:c r="AK2" s="234"/>
      <x:c r="AL2" s="234"/>
      <x:c r="AM2" s="234"/>
      <x:c r="AN2" s="234"/>
      <x:c r="AO2" s="234"/>
      <x:c r="AP2" s="234"/>
      <x:c r="AQ2" s="234"/>
      <x:c r="AR2" s="234"/>
      <x:c r="AS2" s="234"/>
      <x:c r="AT2" s="234"/>
      <x:c r="AU2" s="234"/>
      <x:c r="AV2" s="235"/>
    </x:row>
    <x:row r="3" ht="30" customHeight="1">
      <x:c r="A3" s="253" t="str">
        <x:v>Итерация</x:v>
      </x:c>
      <x:c r="B3" s="253" t="str">
        <x:v>Фаза</x:v>
      </x:c>
      <x:c r="C3" s="253" t="str">
        <x:v>Начало</x:v>
      </x:c>
      <x:c r="D3" s="253" t="str">
        <x:v>Конец</x:v>
      </x:c>
      <x:c r="E3" s="253" t="str">
        <x:v>Дни</x:v>
      </x:c>
      <x:c r="F3" s="253" t="str">
        <x:v>Рахматулин, ч</x:v>
      </x:c>
      <x:c r="G3" s="253" t="str">
        <x:v>Дементьев, ч</x:v>
      </x:c>
      <x:c r="H3" s="253" t="str">
        <x:v>Всего, ч</x:v>
      </x:c>
      <x:c r="I3" s="253" t="str">
        <x:v>Результат</x:v>
      </x:c>
      <x:c r="J3" s="234"/>
      <x:c r="K3" s="423" t="n">
        <x:v>46111</x:v>
      </x:c>
      <x:c r="L3" s="423" t="n">
        <x:v>46118</x:v>
      </x:c>
      <x:c r="M3" s="423" t="n">
        <x:v>46125</x:v>
      </x:c>
      <x:c r="N3" s="423" t="n">
        <x:v>46132</x:v>
      </x:c>
      <x:c r="O3" s="423" t="n">
        <x:v>46139</x:v>
      </x:c>
      <x:c r="P3" s="423" t="n">
        <x:v>46146</x:v>
      </x:c>
      <x:c r="Q3" s="423" t="n">
        <x:v>46153</x:v>
      </x:c>
      <x:c r="R3" s="423" t="n">
        <x:v>46160</x:v>
      </x:c>
      <x:c r="S3" s="423" t="n">
        <x:v>46167</x:v>
      </x:c>
      <x:c r="T3" s="423" t="n">
        <x:v>46174</x:v>
      </x:c>
      <x:c r="U3" s="423" t="n">
        <x:v>46181</x:v>
      </x:c>
      <x:c r="V3" s="423" t="n">
        <x:v>46188</x:v>
      </x:c>
      <x:c r="W3" s="423" t="n">
        <x:v>46195</x:v>
      </x:c>
      <x:c r="X3" s="423" t="n">
        <x:v>46202</x:v>
      </x:c>
      <x:c r="Y3" s="423" t="n">
        <x:v>46209</x:v>
      </x:c>
      <x:c r="Z3" s="423" t="n">
        <x:v>46216</x:v>
      </x:c>
      <x:c r="AA3" s="423" t="n">
        <x:v>46223</x:v>
      </x:c>
      <x:c r="AB3" s="423" t="n">
        <x:v>46230</x:v>
      </x:c>
      <x:c r="AC3" s="423" t="n">
        <x:v>46237</x:v>
      </x:c>
      <x:c r="AD3" s="423" t="n">
        <x:v>46244</x:v>
      </x:c>
      <x:c r="AE3" s="423" t="n">
        <x:v>46251</x:v>
      </x:c>
      <x:c r="AF3" s="423" t="n">
        <x:v>46258</x:v>
      </x:c>
      <x:c r="AG3" s="423" t="n">
        <x:v>46265</x:v>
      </x:c>
      <x:c r="AH3" s="423" t="n">
        <x:v>46272</x:v>
      </x:c>
      <x:c r="AI3" s="423" t="n">
        <x:v>46279</x:v>
      </x:c>
      <x:c r="AJ3" s="423" t="n">
        <x:v>46286</x:v>
      </x:c>
      <x:c r="AK3" s="423" t="n">
        <x:v>46293</x:v>
      </x:c>
      <x:c r="AL3" s="423" t="n">
        <x:v>46300</x:v>
      </x:c>
      <x:c r="AM3" s="423" t="n">
        <x:v>46307</x:v>
      </x:c>
      <x:c r="AN3" s="423" t="n">
        <x:v>46314</x:v>
      </x:c>
      <x:c r="AO3" s="423" t="n">
        <x:v>46321</x:v>
      </x:c>
      <x:c r="AP3" s="423" t="n">
        <x:v>46328</x:v>
      </x:c>
      <x:c r="AQ3" s="423" t="n">
        <x:v>46335</x:v>
      </x:c>
      <x:c r="AR3" s="423" t="n">
        <x:v>46342</x:v>
      </x:c>
      <x:c r="AS3" s="423" t="n">
        <x:v>46349</x:v>
      </x:c>
      <x:c r="AT3" s="423" t="n">
        <x:v>46356</x:v>
      </x:c>
      <x:c r="AU3" s="423" t="n">
        <x:v>46363</x:v>
      </x:c>
      <x:c r="AV3" s="423" t="n">
        <x:v>46370</x:v>
      </x:c>
    </x:row>
    <x:row r="4" ht="15" hidden="0" customHeight="1">
      <x:c r="A4" s="248" t="str">
        <x:v>I1</x:v>
      </x:c>
      <x:c r="B4" s="248" t="str">
        <x:v>Inception</x:v>
      </x:c>
      <x:c r="C4" s="249" t="n">
        <x:v>46113</x:v>
      </x:c>
      <x:c r="D4" s="249" t="n">
        <x:v>46126</x:v>
      </x:c>
      <x:c r="E4" s="424" t="n">
        <x:f>D4-C4+1</x:f>
        <x:v>14</x:v>
      </x:c>
      <x:c r="F4" s="424" t="n">
        <x:f>SUMIFS('Календарный план'!$I$5:$I$77,'Календарный план'!$B$5:$B$77,$A4,'Календарный план'!$H$5:$H$77,"Рахматулин Р.Б.")</x:f>
        <x:v>6</x:v>
      </x:c>
      <x:c r="G4" s="424" t="n">
        <x:f>SUMIFS('Календарный план'!$I$5:$I$77,'Календарный план'!$B$5:$B$77,$A4,'Календарный план'!$H$5:$H$77,"Дементьев Н.А.")</x:f>
        <x:v>7</x:v>
      </x:c>
      <x:c r="H4" s="424" t="n">
        <x:f>F4+G4</x:f>
        <x:v>13</x:v>
      </x:c>
      <x:c r="I4" s="254" t="str">
        <x:v>Vision v1.0; репозиторий на GitHub</x:v>
      </x:c>
      <x:c r="J4" s="234"/>
      <x:c r="K4" s="426" t="str">
        <x:f>IF(AND(K$3&lt;=$D4,K$3+6&gt;=$C4),"■","")</x:f>
        <x:v>■</x:v>
      </x:c>
      <x:c r="L4" s="426" t="str">
        <x:f>IF(AND(L$3&lt;=$D4,L$3+6&gt;=$C4),"■","")</x:f>
        <x:v>■</x:v>
      </x:c>
      <x:c r="M4" s="426" t="str">
        <x:f>IF(AND(M$3&lt;=$D4,M$3+6&gt;=$C4),"■","")</x:f>
        <x:v>■</x:v>
      </x:c>
      <x:c r="N4" s="421" t="str">
        <x:f>IF(AND(N$3&lt;=$D4,N$3+6&gt;=$C4),"■","")</x:f>
      </x:c>
      <x:c r="O4" s="421" t="str">
        <x:f>IF(AND(O$3&lt;=$D4,O$3+6&gt;=$C4),"■","")</x:f>
      </x:c>
      <x:c r="P4" s="421" t="str">
        <x:f>IF(AND(P$3&lt;=$D4,P$3+6&gt;=$C4),"■","")</x:f>
      </x:c>
      <x:c r="Q4" s="421" t="str">
        <x:f>IF(AND(Q$3&lt;=$D4,Q$3+6&gt;=$C4),"■","")</x:f>
      </x:c>
      <x:c r="R4" s="421" t="str">
        <x:f>IF(AND(R$3&lt;=$D4,R$3+6&gt;=$C4),"■","")</x:f>
      </x:c>
      <x:c r="S4" s="421" t="str">
        <x:f>IF(AND(S$3&lt;=$D4,S$3+6&gt;=$C4),"■","")</x:f>
      </x:c>
      <x:c r="T4" s="421" t="str">
        <x:f>IF(AND(T$3&lt;=$D4,T$3+6&gt;=$C4),"■","")</x:f>
      </x:c>
      <x:c r="U4" s="421" t="str">
        <x:f>IF(AND(U$3&lt;=$D4,U$3+6&gt;=$C4),"■","")</x:f>
      </x:c>
      <x:c r="V4" s="421" t="str">
        <x:f>IF(AND(V$3&lt;=$D4,V$3+6&gt;=$C4),"■","")</x:f>
      </x:c>
      <x:c r="W4" s="421" t="str">
        <x:f>IF(AND(W$3&lt;=$D4,W$3+6&gt;=$C4),"■","")</x:f>
      </x:c>
      <x:c r="X4" s="421" t="str">
        <x:f>IF(AND(X$3&lt;=$D4,X$3+6&gt;=$C4),"■","")</x:f>
      </x:c>
      <x:c r="Y4" s="421" t="str">
        <x:f>IF(AND(Y$3&lt;=$D4,Y$3+6&gt;=$C4),"■","")</x:f>
      </x:c>
      <x:c r="Z4" s="421" t="str">
        <x:f>IF(AND(Z$3&lt;=$D4,Z$3+6&gt;=$C4),"■","")</x:f>
      </x:c>
      <x:c r="AA4" s="421" t="str">
        <x:f>IF(AND(AA$3&lt;=$D4,AA$3+6&gt;=$C4),"■","")</x:f>
      </x:c>
      <x:c r="AB4" s="421" t="str">
        <x:f>IF(AND(AB$3&lt;=$D4,AB$3+6&gt;=$C4),"■","")</x:f>
      </x:c>
      <x:c r="AC4" s="421" t="str">
        <x:f>IF(AND(AC$3&lt;=$D4,AC$3+6&gt;=$C4),"■","")</x:f>
      </x:c>
      <x:c r="AD4" s="421" t="str">
        <x:f>IF(AND(AD$3&lt;=$D4,AD$3+6&gt;=$C4),"■","")</x:f>
      </x:c>
      <x:c r="AE4" s="421" t="str">
        <x:f>IF(AND(AE$3&lt;=$D4,AE$3+6&gt;=$C4),"■","")</x:f>
      </x:c>
      <x:c r="AF4" s="421" t="str">
        <x:f>IF(AND(AF$3&lt;=$D4,AF$3+6&gt;=$C4),"■","")</x:f>
      </x:c>
      <x:c r="AG4" s="421" t="str">
        <x:f>IF(AND(AG$3&lt;=$D4,AG$3+6&gt;=$C4),"■","")</x:f>
      </x:c>
      <x:c r="AH4" s="421" t="str">
        <x:f>IF(AND(AH$3&lt;=$D4,AH$3+6&gt;=$C4),"■","")</x:f>
      </x:c>
      <x:c r="AI4" s="421" t="str">
        <x:f>IF(AND(AI$3&lt;=$D4,AI$3+6&gt;=$C4),"■","")</x:f>
      </x:c>
      <x:c r="AJ4" s="421" t="str">
        <x:f>IF(AND(AJ$3&lt;=$D4,AJ$3+6&gt;=$C4),"■","")</x:f>
      </x:c>
      <x:c r="AK4" s="421" t="str">
        <x:f>IF(AND(AK$3&lt;=$D4,AK$3+6&gt;=$C4),"■","")</x:f>
      </x:c>
      <x:c r="AL4" s="421" t="str">
        <x:f>IF(AND(AL$3&lt;=$D4,AL$3+6&gt;=$C4),"■","")</x:f>
      </x:c>
      <x:c r="AM4" s="421" t="str">
        <x:f>IF(AND(AM$3&lt;=$D4,AM$3+6&gt;=$C4),"■","")</x:f>
      </x:c>
      <x:c r="AN4" s="421" t="str">
        <x:f>IF(AND(AN$3&lt;=$D4,AN$3+6&gt;=$C4),"■","")</x:f>
      </x:c>
      <x:c r="AO4" s="421" t="str">
        <x:f>IF(AND(AO$3&lt;=$D4,AO$3+6&gt;=$C4),"■","")</x:f>
      </x:c>
      <x:c r="AP4" s="421" t="str">
        <x:f>IF(AND(AP$3&lt;=$D4,AP$3+6&gt;=$C4),"■","")</x:f>
      </x:c>
      <x:c r="AQ4" s="421" t="str">
        <x:f>IF(AND(AQ$3&lt;=$D4,AQ$3+6&gt;=$C4),"■","")</x:f>
      </x:c>
      <x:c r="AR4" s="421" t="str">
        <x:f>IF(AND(AR$3&lt;=$D4,AR$3+6&gt;=$C4),"■","")</x:f>
      </x:c>
      <x:c r="AS4" s="421" t="str">
        <x:f>IF(AND(AS$3&lt;=$D4,AS$3+6&gt;=$C4),"■","")</x:f>
      </x:c>
      <x:c r="AT4" s="421" t="str">
        <x:f>IF(AND(AT$3&lt;=$D4,AT$3+6&gt;=$C4),"■","")</x:f>
      </x:c>
      <x:c r="AU4" s="421" t="str">
        <x:f>IF(AND(AU$3&lt;=$D4,AU$3+6&gt;=$C4),"■","")</x:f>
      </x:c>
      <x:c r="AV4" s="421" t="str">
        <x:f>IF(AND(AV$3&lt;=$D4,AV$3+6&gt;=$C4),"■","")</x:f>
      </x:c>
    </x:row>
    <x:row r="5" ht="26.399999618530273" hidden="0" customHeight="1">
      <x:c r="A5" s="248" t="str">
        <x:v>I2</x:v>
      </x:c>
      <x:c r="B5" s="248" t="str">
        <x:v>Inception</x:v>
      </x:c>
      <x:c r="C5" s="249" t="n">
        <x:v>46127</x:v>
      </x:c>
      <x:c r="D5" s="249" t="n">
        <x:v>46140</x:v>
      </x:c>
      <x:c r="E5" s="424" t="n">
        <x:f>D5-C5+1</x:f>
        <x:v>14</x:v>
      </x:c>
      <x:c r="F5" s="424" t="n">
        <x:f>SUMIFS('Календарный план'!$I$5:$I$77,'Календарный план'!$B$5:$B$77,$A5,'Календарный план'!$H$5:$H$77,"Рахматулин Р.Б.")</x:f>
        <x:v>7</x:v>
      </x:c>
      <x:c r="G5" s="424" t="n">
        <x:f>SUMIFS('Календарный план'!$I$5:$I$77,'Календарный план'!$B$5:$B$77,$A5,'Календарный план'!$H$5:$H$77,"Дементьев Н.А.")</x:f>
        <x:v>6</x:v>
      </x:c>
      <x:c r="H5" s="424" t="n">
        <x:f>F5+G5</x:f>
        <x:v>13</x:v>
      </x:c>
      <x:c r="I5" s="254" t="str">
        <x:v>SRS v1.0; SDP v1.0; настроенное окружение</x:v>
      </x:c>
      <x:c r="J5" s="234"/>
      <x:c r="K5" s="421" t="str">
        <x:f>IF(AND(K$3&lt;=$D5,K$3+6&gt;=$C5),"■","")</x:f>
      </x:c>
      <x:c r="L5" s="421" t="str">
        <x:f>IF(AND(L$3&lt;=$D5,L$3+6&gt;=$C5),"■","")</x:f>
      </x:c>
      <x:c r="M5" s="426" t="str">
        <x:f>IF(AND(M$3&lt;=$D5,M$3+6&gt;=$C5),"■","")</x:f>
        <x:v>■</x:v>
      </x:c>
      <x:c r="N5" s="426" t="str">
        <x:f>IF(AND(N$3&lt;=$D5,N$3+6&gt;=$C5),"■","")</x:f>
        <x:v>■</x:v>
      </x:c>
      <x:c r="O5" s="426" t="str">
        <x:f>IF(AND(O$3&lt;=$D5,O$3+6&gt;=$C5),"■","")</x:f>
        <x:v>■</x:v>
      </x:c>
      <x:c r="P5" s="421" t="str">
        <x:f>IF(AND(P$3&lt;=$D5,P$3+6&gt;=$C5),"■","")</x:f>
      </x:c>
      <x:c r="Q5" s="421" t="str">
        <x:f>IF(AND(Q$3&lt;=$D5,Q$3+6&gt;=$C5),"■","")</x:f>
      </x:c>
      <x:c r="R5" s="421" t="str">
        <x:f>IF(AND(R$3&lt;=$D5,R$3+6&gt;=$C5),"■","")</x:f>
      </x:c>
      <x:c r="S5" s="421" t="str">
        <x:f>IF(AND(S$3&lt;=$D5,S$3+6&gt;=$C5),"■","")</x:f>
      </x:c>
      <x:c r="T5" s="421" t="str">
        <x:f>IF(AND(T$3&lt;=$D5,T$3+6&gt;=$C5),"■","")</x:f>
      </x:c>
      <x:c r="U5" s="421" t="str">
        <x:f>IF(AND(U$3&lt;=$D5,U$3+6&gt;=$C5),"■","")</x:f>
      </x:c>
      <x:c r="V5" s="421" t="str">
        <x:f>IF(AND(V$3&lt;=$D5,V$3+6&gt;=$C5),"■","")</x:f>
      </x:c>
      <x:c r="W5" s="421" t="str">
        <x:f>IF(AND(W$3&lt;=$D5,W$3+6&gt;=$C5),"■","")</x:f>
      </x:c>
      <x:c r="X5" s="421" t="str">
        <x:f>IF(AND(X$3&lt;=$D5,X$3+6&gt;=$C5),"■","")</x:f>
      </x:c>
      <x:c r="Y5" s="421" t="str">
        <x:f>IF(AND(Y$3&lt;=$D5,Y$3+6&gt;=$C5),"■","")</x:f>
      </x:c>
      <x:c r="Z5" s="421" t="str">
        <x:f>IF(AND(Z$3&lt;=$D5,Z$3+6&gt;=$C5),"■","")</x:f>
      </x:c>
      <x:c r="AA5" s="421" t="str">
        <x:f>IF(AND(AA$3&lt;=$D5,AA$3+6&gt;=$C5),"■","")</x:f>
      </x:c>
      <x:c r="AB5" s="421" t="str">
        <x:f>IF(AND(AB$3&lt;=$D5,AB$3+6&gt;=$C5),"■","")</x:f>
      </x:c>
      <x:c r="AC5" s="421" t="str">
        <x:f>IF(AND(AC$3&lt;=$D5,AC$3+6&gt;=$C5),"■","")</x:f>
      </x:c>
      <x:c r="AD5" s="421" t="str">
        <x:f>IF(AND(AD$3&lt;=$D5,AD$3+6&gt;=$C5),"■","")</x:f>
      </x:c>
      <x:c r="AE5" s="421" t="str">
        <x:f>IF(AND(AE$3&lt;=$D5,AE$3+6&gt;=$C5),"■","")</x:f>
      </x:c>
      <x:c r="AF5" s="421" t="str">
        <x:f>IF(AND(AF$3&lt;=$D5,AF$3+6&gt;=$C5),"■","")</x:f>
      </x:c>
      <x:c r="AG5" s="421" t="str">
        <x:f>IF(AND(AG$3&lt;=$D5,AG$3+6&gt;=$C5),"■","")</x:f>
      </x:c>
      <x:c r="AH5" s="421" t="str">
        <x:f>IF(AND(AH$3&lt;=$D5,AH$3+6&gt;=$C5),"■","")</x:f>
      </x:c>
      <x:c r="AI5" s="421" t="str">
        <x:f>IF(AND(AI$3&lt;=$D5,AI$3+6&gt;=$C5),"■","")</x:f>
      </x:c>
      <x:c r="AJ5" s="421" t="str">
        <x:f>IF(AND(AJ$3&lt;=$D5,AJ$3+6&gt;=$C5),"■","")</x:f>
      </x:c>
      <x:c r="AK5" s="421" t="str">
        <x:f>IF(AND(AK$3&lt;=$D5,AK$3+6&gt;=$C5),"■","")</x:f>
      </x:c>
      <x:c r="AL5" s="421" t="str">
        <x:f>IF(AND(AL$3&lt;=$D5,AL$3+6&gt;=$C5),"■","")</x:f>
      </x:c>
      <x:c r="AM5" s="421" t="str">
        <x:f>IF(AND(AM$3&lt;=$D5,AM$3+6&gt;=$C5),"■","")</x:f>
      </x:c>
      <x:c r="AN5" s="421" t="str">
        <x:f>IF(AND(AN$3&lt;=$D5,AN$3+6&gt;=$C5),"■","")</x:f>
      </x:c>
      <x:c r="AO5" s="421" t="str">
        <x:f>IF(AND(AO$3&lt;=$D5,AO$3+6&gt;=$C5),"■","")</x:f>
      </x:c>
      <x:c r="AP5" s="421" t="str">
        <x:f>IF(AND(AP$3&lt;=$D5,AP$3+6&gt;=$C5),"■","")</x:f>
      </x:c>
      <x:c r="AQ5" s="421" t="str">
        <x:f>IF(AND(AQ$3&lt;=$D5,AQ$3+6&gt;=$C5),"■","")</x:f>
      </x:c>
      <x:c r="AR5" s="421" t="str">
        <x:f>IF(AND(AR$3&lt;=$D5,AR$3+6&gt;=$C5),"■","")</x:f>
      </x:c>
      <x:c r="AS5" s="421" t="str">
        <x:f>IF(AND(AS$3&lt;=$D5,AS$3+6&gt;=$C5),"■","")</x:f>
      </x:c>
      <x:c r="AT5" s="421" t="str">
        <x:f>IF(AND(AT$3&lt;=$D5,AT$3+6&gt;=$C5),"■","")</x:f>
      </x:c>
      <x:c r="AU5" s="421" t="str">
        <x:f>IF(AND(AU$3&lt;=$D5,AU$3+6&gt;=$C5),"■","")</x:f>
      </x:c>
      <x:c r="AV5" s="421" t="str">
        <x:f>IF(AND(AV$3&lt;=$D5,AV$3+6&gt;=$C5),"■","")</x:f>
      </x:c>
    </x:row>
    <x:row r="6" ht="26.399999618530273" hidden="0" customHeight="1">
      <x:c r="A6" s="248" t="str">
        <x:v>E1</x:v>
      </x:c>
      <x:c r="B6" s="248" t="str">
        <x:v>Elaboration</x:v>
      </x:c>
      <x:c r="C6" s="249" t="n">
        <x:v>46141</x:v>
      </x:c>
      <x:c r="D6" s="249" t="n">
        <x:v>46154</x:v>
      </x:c>
      <x:c r="E6" s="424" t="n">
        <x:f>D6-C6+1</x:f>
        <x:v>14</x:v>
      </x:c>
      <x:c r="F6" s="424" t="n">
        <x:f>SUMIFS('Календарный план'!$I$5:$I$77,'Календарный план'!$B$5:$B$77,$A6,'Календарный план'!$H$5:$H$77,"Рахматулин Р.Б.")</x:f>
        <x:v>12</x:v>
      </x:c>
      <x:c r="G6" s="424" t="n">
        <x:f>SUMIFS('Календарный план'!$I$5:$I$77,'Календарный план'!$B$5:$B$77,$A6,'Календарный план'!$H$5:$H$77,"Дементьев Н.А.")</x:f>
        <x:v>12</x:v>
      </x:c>
      <x:c r="H6" s="424" t="n">
        <x:f>F6+G6</x:f>
        <x:v>24</x:v>
      </x:c>
      <x:c r="I6" s="254" t="str">
        <x:v>Архитектурные решения по архитектурно значимым UC3, UC4, UC7 и UC11</x:v>
      </x:c>
      <x:c r="J6" s="234"/>
      <x:c r="K6" s="421" t="str">
        <x:f>IF(AND(K$3&lt;=$D6,K$3+6&gt;=$C6),"■","")</x:f>
      </x:c>
      <x:c r="L6" s="421" t="str">
        <x:f>IF(AND(L$3&lt;=$D6,L$3+6&gt;=$C6),"■","")</x:f>
      </x:c>
      <x:c r="M6" s="421" t="str">
        <x:f>IF(AND(M$3&lt;=$D6,M$3+6&gt;=$C6),"■","")</x:f>
      </x:c>
      <x:c r="N6" s="421" t="str">
        <x:f>IF(AND(N$3&lt;=$D6,N$3+6&gt;=$C6),"■","")</x:f>
      </x:c>
      <x:c r="O6" s="426" t="str">
        <x:f>IF(AND(O$3&lt;=$D6,O$3+6&gt;=$C6),"■","")</x:f>
        <x:v>■</x:v>
      </x:c>
      <x:c r="P6" s="426" t="str">
        <x:f>IF(AND(P$3&lt;=$D6,P$3+6&gt;=$C6),"■","")</x:f>
        <x:v>■</x:v>
      </x:c>
      <x:c r="Q6" s="426" t="str">
        <x:f>IF(AND(Q$3&lt;=$D6,Q$3+6&gt;=$C6),"■","")</x:f>
        <x:v>■</x:v>
      </x:c>
      <x:c r="R6" s="421" t="str">
        <x:f>IF(AND(R$3&lt;=$D6,R$3+6&gt;=$C6),"■","")</x:f>
      </x:c>
      <x:c r="S6" s="421" t="str">
        <x:f>IF(AND(S$3&lt;=$D6,S$3+6&gt;=$C6),"■","")</x:f>
      </x:c>
      <x:c r="T6" s="421" t="str">
        <x:f>IF(AND(T$3&lt;=$D6,T$3+6&gt;=$C6),"■","")</x:f>
      </x:c>
      <x:c r="U6" s="421" t="str">
        <x:f>IF(AND(U$3&lt;=$D6,U$3+6&gt;=$C6),"■","")</x:f>
      </x:c>
      <x:c r="V6" s="421" t="str">
        <x:f>IF(AND(V$3&lt;=$D6,V$3+6&gt;=$C6),"■","")</x:f>
      </x:c>
      <x:c r="W6" s="421" t="str">
        <x:f>IF(AND(W$3&lt;=$D6,W$3+6&gt;=$C6),"■","")</x:f>
      </x:c>
      <x:c r="X6" s="421" t="str">
        <x:f>IF(AND(X$3&lt;=$D6,X$3+6&gt;=$C6),"■","")</x:f>
      </x:c>
      <x:c r="Y6" s="421" t="str">
        <x:f>IF(AND(Y$3&lt;=$D6,Y$3+6&gt;=$C6),"■","")</x:f>
      </x:c>
      <x:c r="Z6" s="421" t="str">
        <x:f>IF(AND(Z$3&lt;=$D6,Z$3+6&gt;=$C6),"■","")</x:f>
      </x:c>
      <x:c r="AA6" s="421" t="str">
        <x:f>IF(AND(AA$3&lt;=$D6,AA$3+6&gt;=$C6),"■","")</x:f>
      </x:c>
      <x:c r="AB6" s="421" t="str">
        <x:f>IF(AND(AB$3&lt;=$D6,AB$3+6&gt;=$C6),"■","")</x:f>
      </x:c>
      <x:c r="AC6" s="421" t="str">
        <x:f>IF(AND(AC$3&lt;=$D6,AC$3+6&gt;=$C6),"■","")</x:f>
      </x:c>
      <x:c r="AD6" s="421" t="str">
        <x:f>IF(AND(AD$3&lt;=$D6,AD$3+6&gt;=$C6),"■","")</x:f>
      </x:c>
      <x:c r="AE6" s="421" t="str">
        <x:f>IF(AND(AE$3&lt;=$D6,AE$3+6&gt;=$C6),"■","")</x:f>
      </x:c>
      <x:c r="AF6" s="421" t="str">
        <x:f>IF(AND(AF$3&lt;=$D6,AF$3+6&gt;=$C6),"■","")</x:f>
      </x:c>
      <x:c r="AG6" s="421" t="str">
        <x:f>IF(AND(AG$3&lt;=$D6,AG$3+6&gt;=$C6),"■","")</x:f>
      </x:c>
      <x:c r="AH6" s="421" t="str">
        <x:f>IF(AND(AH$3&lt;=$D6,AH$3+6&gt;=$C6),"■","")</x:f>
      </x:c>
      <x:c r="AI6" s="421" t="str">
        <x:f>IF(AND(AI$3&lt;=$D6,AI$3+6&gt;=$C6),"■","")</x:f>
      </x:c>
      <x:c r="AJ6" s="421" t="str">
        <x:f>IF(AND(AJ$3&lt;=$D6,AJ$3+6&gt;=$C6),"■","")</x:f>
      </x:c>
      <x:c r="AK6" s="421" t="str">
        <x:f>IF(AND(AK$3&lt;=$D6,AK$3+6&gt;=$C6),"■","")</x:f>
      </x:c>
      <x:c r="AL6" s="421" t="str">
        <x:f>IF(AND(AL$3&lt;=$D6,AL$3+6&gt;=$C6),"■","")</x:f>
      </x:c>
      <x:c r="AM6" s="421" t="str">
        <x:f>IF(AND(AM$3&lt;=$D6,AM$3+6&gt;=$C6),"■","")</x:f>
      </x:c>
      <x:c r="AN6" s="421" t="str">
        <x:f>IF(AND(AN$3&lt;=$D6,AN$3+6&gt;=$C6),"■","")</x:f>
      </x:c>
      <x:c r="AO6" s="421" t="str">
        <x:f>IF(AND(AO$3&lt;=$D6,AO$3+6&gt;=$C6),"■","")</x:f>
      </x:c>
      <x:c r="AP6" s="421" t="str">
        <x:f>IF(AND(AP$3&lt;=$D6,AP$3+6&gt;=$C6),"■","")</x:f>
      </x:c>
      <x:c r="AQ6" s="421" t="str">
        <x:f>IF(AND(AQ$3&lt;=$D6,AQ$3+6&gt;=$C6),"■","")</x:f>
      </x:c>
      <x:c r="AR6" s="421" t="str">
        <x:f>IF(AND(AR$3&lt;=$D6,AR$3+6&gt;=$C6),"■","")</x:f>
      </x:c>
      <x:c r="AS6" s="421" t="str">
        <x:f>IF(AND(AS$3&lt;=$D6,AS$3+6&gt;=$C6),"■","")</x:f>
      </x:c>
      <x:c r="AT6" s="421" t="str">
        <x:f>IF(AND(AT$3&lt;=$D6,AT$3+6&gt;=$C6),"■","")</x:f>
      </x:c>
      <x:c r="AU6" s="421" t="str">
        <x:f>IF(AND(AU$3&lt;=$D6,AU$3+6&gt;=$C6),"■","")</x:f>
      </x:c>
      <x:c r="AV6" s="421" t="str">
        <x:f>IF(AND(AV$3&lt;=$D6,AV$3+6&gt;=$C6),"■","")</x:f>
      </x:c>
    </x:row>
    <x:row r="7" ht="26.399999618530273" hidden="0" customHeight="1">
      <x:c r="A7" s="248" t="str">
        <x:v>E2</x:v>
      </x:c>
      <x:c r="B7" s="248" t="str">
        <x:v>Elaboration</x:v>
      </x:c>
      <x:c r="C7" s="249" t="n">
        <x:v>46155</x:v>
      </x:c>
      <x:c r="D7" s="249" t="n">
        <x:v>46168</x:v>
      </x:c>
      <x:c r="E7" s="424" t="n">
        <x:f>D7-C7+1</x:f>
        <x:v>14</x:v>
      </x:c>
      <x:c r="F7" s="424" t="n">
        <x:f>SUMIFS('Календарный план'!$I$5:$I$77,'Календарный план'!$B$5:$B$77,$A7,'Календарный план'!$H$5:$H$77,"Рахматулин Р.Б.")</x:f>
        <x:v>12</x:v>
      </x:c>
      <x:c r="G7" s="424" t="n">
        <x:f>SUMIFS('Календарный план'!$I$5:$I$77,'Календарный план'!$B$5:$B$77,$A7,'Календарный план'!$H$5:$H$77,"Дементьев Н.А.")</x:f>
        <x:v>12</x:v>
      </x:c>
      <x:c r="H7" s="424" t="n">
        <x:f>F7+G7</x:f>
        <x:v>24</x:v>
      </x:c>
      <x:c r="I7" s="254" t="str">
        <x:v>Исполняемый архитектурный прототип UC3 на Helios</x:v>
      </x:c>
      <x:c r="J7" s="234"/>
      <x:c r="K7" s="421" t="str">
        <x:f>IF(AND(K$3&lt;=$D7,K$3+6&gt;=$C7),"■","")</x:f>
      </x:c>
      <x:c r="L7" s="421" t="str">
        <x:f>IF(AND(L$3&lt;=$D7,L$3+6&gt;=$C7),"■","")</x:f>
      </x:c>
      <x:c r="M7" s="421" t="str">
        <x:f>IF(AND(M$3&lt;=$D7,M$3+6&gt;=$C7),"■","")</x:f>
      </x:c>
      <x:c r="N7" s="421" t="str">
        <x:f>IF(AND(N$3&lt;=$D7,N$3+6&gt;=$C7),"■","")</x:f>
      </x:c>
      <x:c r="O7" s="421" t="str">
        <x:f>IF(AND(O$3&lt;=$D7,O$3+6&gt;=$C7),"■","")</x:f>
      </x:c>
      <x:c r="P7" s="421" t="str">
        <x:f>IF(AND(P$3&lt;=$D7,P$3+6&gt;=$C7),"■","")</x:f>
      </x:c>
      <x:c r="Q7" s="426" t="str">
        <x:f>IF(AND(Q$3&lt;=$D7,Q$3+6&gt;=$C7),"■","")</x:f>
        <x:v>■</x:v>
      </x:c>
      <x:c r="R7" s="426" t="str">
        <x:f>IF(AND(R$3&lt;=$D7,R$3+6&gt;=$C7),"■","")</x:f>
        <x:v>■</x:v>
      </x:c>
      <x:c r="S7" s="426" t="str">
        <x:f>IF(AND(S$3&lt;=$D7,S$3+6&gt;=$C7),"■","")</x:f>
        <x:v>■</x:v>
      </x:c>
      <x:c r="T7" s="421" t="str">
        <x:f>IF(AND(T$3&lt;=$D7,T$3+6&gt;=$C7),"■","")</x:f>
      </x:c>
      <x:c r="U7" s="421" t="str">
        <x:f>IF(AND(U$3&lt;=$D7,U$3+6&gt;=$C7),"■","")</x:f>
      </x:c>
      <x:c r="V7" s="421" t="str">
        <x:f>IF(AND(V$3&lt;=$D7,V$3+6&gt;=$C7),"■","")</x:f>
      </x:c>
      <x:c r="W7" s="421" t="str">
        <x:f>IF(AND(W$3&lt;=$D7,W$3+6&gt;=$C7),"■","")</x:f>
      </x:c>
      <x:c r="X7" s="421" t="str">
        <x:f>IF(AND(X$3&lt;=$D7,X$3+6&gt;=$C7),"■","")</x:f>
      </x:c>
      <x:c r="Y7" s="421" t="str">
        <x:f>IF(AND(Y$3&lt;=$D7,Y$3+6&gt;=$C7),"■","")</x:f>
      </x:c>
      <x:c r="Z7" s="421" t="str">
        <x:f>IF(AND(Z$3&lt;=$D7,Z$3+6&gt;=$C7),"■","")</x:f>
      </x:c>
      <x:c r="AA7" s="421" t="str">
        <x:f>IF(AND(AA$3&lt;=$D7,AA$3+6&gt;=$C7),"■","")</x:f>
      </x:c>
      <x:c r="AB7" s="421" t="str">
        <x:f>IF(AND(AB$3&lt;=$D7,AB$3+6&gt;=$C7),"■","")</x:f>
      </x:c>
      <x:c r="AC7" s="421" t="str">
        <x:f>IF(AND(AC$3&lt;=$D7,AC$3+6&gt;=$C7),"■","")</x:f>
      </x:c>
      <x:c r="AD7" s="421" t="str">
        <x:f>IF(AND(AD$3&lt;=$D7,AD$3+6&gt;=$C7),"■","")</x:f>
      </x:c>
      <x:c r="AE7" s="421" t="str">
        <x:f>IF(AND(AE$3&lt;=$D7,AE$3+6&gt;=$C7),"■","")</x:f>
      </x:c>
      <x:c r="AF7" s="421" t="str">
        <x:f>IF(AND(AF$3&lt;=$D7,AF$3+6&gt;=$C7),"■","")</x:f>
      </x:c>
      <x:c r="AG7" s="421" t="str">
        <x:f>IF(AND(AG$3&lt;=$D7,AG$3+6&gt;=$C7),"■","")</x:f>
      </x:c>
      <x:c r="AH7" s="421" t="str">
        <x:f>IF(AND(AH$3&lt;=$D7,AH$3+6&gt;=$C7),"■","")</x:f>
      </x:c>
      <x:c r="AI7" s="421" t="str">
        <x:f>IF(AND(AI$3&lt;=$D7,AI$3+6&gt;=$C7),"■","")</x:f>
      </x:c>
      <x:c r="AJ7" s="421" t="str">
        <x:f>IF(AND(AJ$3&lt;=$D7,AJ$3+6&gt;=$C7),"■","")</x:f>
      </x:c>
      <x:c r="AK7" s="421" t="str">
        <x:f>IF(AND(AK$3&lt;=$D7,AK$3+6&gt;=$C7),"■","")</x:f>
      </x:c>
      <x:c r="AL7" s="421" t="str">
        <x:f>IF(AND(AL$3&lt;=$D7,AL$3+6&gt;=$C7),"■","")</x:f>
      </x:c>
      <x:c r="AM7" s="421" t="str">
        <x:f>IF(AND(AM$3&lt;=$D7,AM$3+6&gt;=$C7),"■","")</x:f>
      </x:c>
      <x:c r="AN7" s="421" t="str">
        <x:f>IF(AND(AN$3&lt;=$D7,AN$3+6&gt;=$C7),"■","")</x:f>
      </x:c>
      <x:c r="AO7" s="421" t="str">
        <x:f>IF(AND(AO$3&lt;=$D7,AO$3+6&gt;=$C7),"■","")</x:f>
      </x:c>
      <x:c r="AP7" s="421" t="str">
        <x:f>IF(AND(AP$3&lt;=$D7,AP$3+6&gt;=$C7),"■","")</x:f>
      </x:c>
      <x:c r="AQ7" s="421" t="str">
        <x:f>IF(AND(AQ$3&lt;=$D7,AQ$3+6&gt;=$C7),"■","")</x:f>
      </x:c>
      <x:c r="AR7" s="421" t="str">
        <x:f>IF(AND(AR$3&lt;=$D7,AR$3+6&gt;=$C7),"■","")</x:f>
      </x:c>
      <x:c r="AS7" s="421" t="str">
        <x:f>IF(AND(AS$3&lt;=$D7,AS$3+6&gt;=$C7),"■","")</x:f>
      </x:c>
      <x:c r="AT7" s="421" t="str">
        <x:f>IF(AND(AT$3&lt;=$D7,AT$3+6&gt;=$C7),"■","")</x:f>
      </x:c>
      <x:c r="AU7" s="421" t="str">
        <x:f>IF(AND(AU$3&lt;=$D7,AU$3+6&gt;=$C7),"■","")</x:f>
      </x:c>
      <x:c r="AV7" s="421" t="str">
        <x:f>IF(AND(AV$3&lt;=$D7,AV$3+6&gt;=$C7),"■","")</x:f>
      </x:c>
    </x:row>
    <x:row r="8" ht="26.399999618530273" hidden="0" customHeight="1">
      <x:c r="A8" s="248" t="str">
        <x:v>C1.1</x:v>
      </x:c>
      <x:c r="B8" s="248" t="str">
        <x:v>Construction</x:v>
      </x:c>
      <x:c r="C8" s="249" t="n">
        <x:v>46169</x:v>
      </x:c>
      <x:c r="D8" s="249" t="n">
        <x:v>46182</x:v>
      </x:c>
      <x:c r="E8" s="424" t="n">
        <x:f>D8-C8+1</x:f>
        <x:v>14</x:v>
      </x:c>
      <x:c r="F8" s="424" t="n">
        <x:f>SUMIFS('Календарный план'!$I$5:$I$77,'Календарный план'!$B$5:$B$77,$A8,'Календарный план'!$H$5:$H$77,"Рахматулин Р.Б.")</x:f>
        <x:v>11</x:v>
      </x:c>
      <x:c r="G8" s="424" t="n">
        <x:f>SUMIFS('Календарный план'!$I$5:$I$77,'Календарный план'!$B$5:$B$77,$A8,'Календарный план'!$H$5:$H$77,"Дементьев Н.А.")</x:f>
        <x:v>10</x:v>
      </x:c>
      <x:c r="H8" s="424" t="n">
        <x:f>F8+G8</x:f>
        <x:v>21</x:v>
      </x:c>
      <x:c r="I8" s="254" t="str">
        <x:v>Работающий модуль управления походами и ресурсами</x:v>
      </x:c>
      <x:c r="J8" s="234"/>
      <x:c r="K8" s="421" t="str">
        <x:f>IF(AND(K$3&lt;=$D8,K$3+6&gt;=$C8),"■","")</x:f>
      </x:c>
      <x:c r="L8" s="421" t="str">
        <x:f>IF(AND(L$3&lt;=$D8,L$3+6&gt;=$C8),"■","")</x:f>
      </x:c>
      <x:c r="M8" s="421" t="str">
        <x:f>IF(AND(M$3&lt;=$D8,M$3+6&gt;=$C8),"■","")</x:f>
      </x:c>
      <x:c r="N8" s="421" t="str">
        <x:f>IF(AND(N$3&lt;=$D8,N$3+6&gt;=$C8),"■","")</x:f>
      </x:c>
      <x:c r="O8" s="421" t="str">
        <x:f>IF(AND(O$3&lt;=$D8,O$3+6&gt;=$C8),"■","")</x:f>
      </x:c>
      <x:c r="P8" s="421" t="str">
        <x:f>IF(AND(P$3&lt;=$D8,P$3+6&gt;=$C8),"■","")</x:f>
      </x:c>
      <x:c r="Q8" s="421" t="str">
        <x:f>IF(AND(Q$3&lt;=$D8,Q$3+6&gt;=$C8),"■","")</x:f>
      </x:c>
      <x:c r="R8" s="421" t="str">
        <x:f>IF(AND(R$3&lt;=$D8,R$3+6&gt;=$C8),"■","")</x:f>
      </x:c>
      <x:c r="S8" s="426" t="str">
        <x:f>IF(AND(S$3&lt;=$D8,S$3+6&gt;=$C8),"■","")</x:f>
        <x:v>■</x:v>
      </x:c>
      <x:c r="T8" s="426" t="str">
        <x:f>IF(AND(T$3&lt;=$D8,T$3+6&gt;=$C8),"■","")</x:f>
        <x:v>■</x:v>
      </x:c>
      <x:c r="U8" s="426" t="str">
        <x:f>IF(AND(U$3&lt;=$D8,U$3+6&gt;=$C8),"■","")</x:f>
        <x:v>■</x:v>
      </x:c>
      <x:c r="V8" s="421" t="str">
        <x:f>IF(AND(V$3&lt;=$D8,V$3+6&gt;=$C8),"■","")</x:f>
      </x:c>
      <x:c r="W8" s="421" t="str">
        <x:f>IF(AND(W$3&lt;=$D8,W$3+6&gt;=$C8),"■","")</x:f>
      </x:c>
      <x:c r="X8" s="421" t="str">
        <x:f>IF(AND(X$3&lt;=$D8,X$3+6&gt;=$C8),"■","")</x:f>
      </x:c>
      <x:c r="Y8" s="421" t="str">
        <x:f>IF(AND(Y$3&lt;=$D8,Y$3+6&gt;=$C8),"■","")</x:f>
      </x:c>
      <x:c r="Z8" s="421" t="str">
        <x:f>IF(AND(Z$3&lt;=$D8,Z$3+6&gt;=$C8),"■","")</x:f>
      </x:c>
      <x:c r="AA8" s="421" t="str">
        <x:f>IF(AND(AA$3&lt;=$D8,AA$3+6&gt;=$C8),"■","")</x:f>
      </x:c>
      <x:c r="AB8" s="421" t="str">
        <x:f>IF(AND(AB$3&lt;=$D8,AB$3+6&gt;=$C8),"■","")</x:f>
      </x:c>
      <x:c r="AC8" s="421" t="str">
        <x:f>IF(AND(AC$3&lt;=$D8,AC$3+6&gt;=$C8),"■","")</x:f>
      </x:c>
      <x:c r="AD8" s="421" t="str">
        <x:f>IF(AND(AD$3&lt;=$D8,AD$3+6&gt;=$C8),"■","")</x:f>
      </x:c>
      <x:c r="AE8" s="421" t="str">
        <x:f>IF(AND(AE$3&lt;=$D8,AE$3+6&gt;=$C8),"■","")</x:f>
      </x:c>
      <x:c r="AF8" s="421" t="str">
        <x:f>IF(AND(AF$3&lt;=$D8,AF$3+6&gt;=$C8),"■","")</x:f>
      </x:c>
      <x:c r="AG8" s="421" t="str">
        <x:f>IF(AND(AG$3&lt;=$D8,AG$3+6&gt;=$C8),"■","")</x:f>
      </x:c>
      <x:c r="AH8" s="421" t="str">
        <x:f>IF(AND(AH$3&lt;=$D8,AH$3+6&gt;=$C8),"■","")</x:f>
      </x:c>
      <x:c r="AI8" s="421" t="str">
        <x:f>IF(AND(AI$3&lt;=$D8,AI$3+6&gt;=$C8),"■","")</x:f>
      </x:c>
      <x:c r="AJ8" s="421" t="str">
        <x:f>IF(AND(AJ$3&lt;=$D8,AJ$3+6&gt;=$C8),"■","")</x:f>
      </x:c>
      <x:c r="AK8" s="421" t="str">
        <x:f>IF(AND(AK$3&lt;=$D8,AK$3+6&gt;=$C8),"■","")</x:f>
      </x:c>
      <x:c r="AL8" s="421" t="str">
        <x:f>IF(AND(AL$3&lt;=$D8,AL$3+6&gt;=$C8),"■","")</x:f>
      </x:c>
      <x:c r="AM8" s="421" t="str">
        <x:f>IF(AND(AM$3&lt;=$D8,AM$3+6&gt;=$C8),"■","")</x:f>
      </x:c>
      <x:c r="AN8" s="421" t="str">
        <x:f>IF(AND(AN$3&lt;=$D8,AN$3+6&gt;=$C8),"■","")</x:f>
      </x:c>
      <x:c r="AO8" s="421" t="str">
        <x:f>IF(AND(AO$3&lt;=$D8,AO$3+6&gt;=$C8),"■","")</x:f>
      </x:c>
      <x:c r="AP8" s="421" t="str">
        <x:f>IF(AND(AP$3&lt;=$D8,AP$3+6&gt;=$C8),"■","")</x:f>
      </x:c>
      <x:c r="AQ8" s="421" t="str">
        <x:f>IF(AND(AQ$3&lt;=$D8,AQ$3+6&gt;=$C8),"■","")</x:f>
      </x:c>
      <x:c r="AR8" s="421" t="str">
        <x:f>IF(AND(AR$3&lt;=$D8,AR$3+6&gt;=$C8),"■","")</x:f>
      </x:c>
      <x:c r="AS8" s="421" t="str">
        <x:f>IF(AND(AS$3&lt;=$D8,AS$3+6&gt;=$C8),"■","")</x:f>
      </x:c>
      <x:c r="AT8" s="421" t="str">
        <x:f>IF(AND(AT$3&lt;=$D8,AT$3+6&gt;=$C8),"■","")</x:f>
      </x:c>
      <x:c r="AU8" s="421" t="str">
        <x:f>IF(AND(AU$3&lt;=$D8,AU$3+6&gt;=$C8),"■","")</x:f>
      </x:c>
      <x:c r="AV8" s="421" t="str">
        <x:f>IF(AND(AV$3&lt;=$D8,AV$3+6&gt;=$C8),"■","")</x:f>
      </x:c>
    </x:row>
    <x:row r="9" ht="26.399999618530273" hidden="0" customHeight="1">
      <x:c r="A9" s="248" t="str">
        <x:v>C1.2</x:v>
      </x:c>
      <x:c r="B9" s="248" t="str">
        <x:v>Construction</x:v>
      </x:c>
      <x:c r="C9" s="249" t="n">
        <x:v>46183</x:v>
      </x:c>
      <x:c r="D9" s="249" t="n">
        <x:v>46196</x:v>
      </x:c>
      <x:c r="E9" s="424" t="n">
        <x:f>D9-C9+1</x:f>
        <x:v>14</x:v>
      </x:c>
      <x:c r="F9" s="424" t="n">
        <x:f>SUMIFS('Календарный план'!$I$5:$I$77,'Календарный план'!$B$5:$B$77,$A9,'Календарный план'!$H$5:$H$77,"Рахматулин Р.Б.")</x:f>
        <x:v>10</x:v>
      </x:c>
      <x:c r="G9" s="424" t="n">
        <x:f>SUMIFS('Календарный план'!$I$5:$I$77,'Календарный план'!$B$5:$B$77,$A9,'Календарный план'!$H$5:$H$77,"Дементьев Н.А.")</x:f>
        <x:v>11</x:v>
      </x:c>
      <x:c r="H9" s="424" t="n">
        <x:f>F9+G9</x:f>
        <x:v>21</x:v>
      </x:c>
      <x:c r="I9" s="254" t="str">
        <x:v>Работающий модуль верфи; v0.2-alpha</x:v>
      </x:c>
      <x:c r="J9" s="234"/>
      <x:c r="K9" s="421" t="str">
        <x:f>IF(AND(K$3&lt;=$D9,K$3+6&gt;=$C9),"■","")</x:f>
      </x:c>
      <x:c r="L9" s="421" t="str">
        <x:f>IF(AND(L$3&lt;=$D9,L$3+6&gt;=$C9),"■","")</x:f>
      </x:c>
      <x:c r="M9" s="421" t="str">
        <x:f>IF(AND(M$3&lt;=$D9,M$3+6&gt;=$C9),"■","")</x:f>
      </x:c>
      <x:c r="N9" s="421" t="str">
        <x:f>IF(AND(N$3&lt;=$D9,N$3+6&gt;=$C9),"■","")</x:f>
      </x:c>
      <x:c r="O9" s="421" t="str">
        <x:f>IF(AND(O$3&lt;=$D9,O$3+6&gt;=$C9),"■","")</x:f>
      </x:c>
      <x:c r="P9" s="421" t="str">
        <x:f>IF(AND(P$3&lt;=$D9,P$3+6&gt;=$C9),"■","")</x:f>
      </x:c>
      <x:c r="Q9" s="421" t="str">
        <x:f>IF(AND(Q$3&lt;=$D9,Q$3+6&gt;=$C9),"■","")</x:f>
      </x:c>
      <x:c r="R9" s="421" t="str">
        <x:f>IF(AND(R$3&lt;=$D9,R$3+6&gt;=$C9),"■","")</x:f>
      </x:c>
      <x:c r="S9" s="421" t="str">
        <x:f>IF(AND(S$3&lt;=$D9,S$3+6&gt;=$C9),"■","")</x:f>
      </x:c>
      <x:c r="T9" s="421" t="str">
        <x:f>IF(AND(T$3&lt;=$D9,T$3+6&gt;=$C9),"■","")</x:f>
      </x:c>
      <x:c r="U9" s="426" t="str">
        <x:f>IF(AND(U$3&lt;=$D9,U$3+6&gt;=$C9),"■","")</x:f>
        <x:v>■</x:v>
      </x:c>
      <x:c r="V9" s="426" t="str">
        <x:f>IF(AND(V$3&lt;=$D9,V$3+6&gt;=$C9),"■","")</x:f>
        <x:v>■</x:v>
      </x:c>
      <x:c r="W9" s="426" t="str">
        <x:f>IF(AND(W$3&lt;=$D9,W$3+6&gt;=$C9),"■","")</x:f>
        <x:v>■</x:v>
      </x:c>
      <x:c r="X9" s="421" t="str">
        <x:f>IF(AND(X$3&lt;=$D9,X$3+6&gt;=$C9),"■","")</x:f>
      </x:c>
      <x:c r="Y9" s="421" t="str">
        <x:f>IF(AND(Y$3&lt;=$D9,Y$3+6&gt;=$C9),"■","")</x:f>
      </x:c>
      <x:c r="Z9" s="421" t="str">
        <x:f>IF(AND(Z$3&lt;=$D9,Z$3+6&gt;=$C9),"■","")</x:f>
      </x:c>
      <x:c r="AA9" s="421" t="str">
        <x:f>IF(AND(AA$3&lt;=$D9,AA$3+6&gt;=$C9),"■","")</x:f>
      </x:c>
      <x:c r="AB9" s="421" t="str">
        <x:f>IF(AND(AB$3&lt;=$D9,AB$3+6&gt;=$C9),"■","")</x:f>
      </x:c>
      <x:c r="AC9" s="421" t="str">
        <x:f>IF(AND(AC$3&lt;=$D9,AC$3+6&gt;=$C9),"■","")</x:f>
      </x:c>
      <x:c r="AD9" s="421" t="str">
        <x:f>IF(AND(AD$3&lt;=$D9,AD$3+6&gt;=$C9),"■","")</x:f>
      </x:c>
      <x:c r="AE9" s="421" t="str">
        <x:f>IF(AND(AE$3&lt;=$D9,AE$3+6&gt;=$C9),"■","")</x:f>
      </x:c>
      <x:c r="AF9" s="421" t="str">
        <x:f>IF(AND(AF$3&lt;=$D9,AF$3+6&gt;=$C9),"■","")</x:f>
      </x:c>
      <x:c r="AG9" s="421" t="str">
        <x:f>IF(AND(AG$3&lt;=$D9,AG$3+6&gt;=$C9),"■","")</x:f>
      </x:c>
      <x:c r="AH9" s="421" t="str">
        <x:f>IF(AND(AH$3&lt;=$D9,AH$3+6&gt;=$C9),"■","")</x:f>
      </x:c>
      <x:c r="AI9" s="421" t="str">
        <x:f>IF(AND(AI$3&lt;=$D9,AI$3+6&gt;=$C9),"■","")</x:f>
      </x:c>
      <x:c r="AJ9" s="421" t="str">
        <x:f>IF(AND(AJ$3&lt;=$D9,AJ$3+6&gt;=$C9),"■","")</x:f>
      </x:c>
      <x:c r="AK9" s="421" t="str">
        <x:f>IF(AND(AK$3&lt;=$D9,AK$3+6&gt;=$C9),"■","")</x:f>
      </x:c>
      <x:c r="AL9" s="421" t="str">
        <x:f>IF(AND(AL$3&lt;=$D9,AL$3+6&gt;=$C9),"■","")</x:f>
      </x:c>
      <x:c r="AM9" s="421" t="str">
        <x:f>IF(AND(AM$3&lt;=$D9,AM$3+6&gt;=$C9),"■","")</x:f>
      </x:c>
      <x:c r="AN9" s="421" t="str">
        <x:f>IF(AND(AN$3&lt;=$D9,AN$3+6&gt;=$C9),"■","")</x:f>
      </x:c>
      <x:c r="AO9" s="421" t="str">
        <x:f>IF(AND(AO$3&lt;=$D9,AO$3+6&gt;=$C9),"■","")</x:f>
      </x:c>
      <x:c r="AP9" s="421" t="str">
        <x:f>IF(AND(AP$3&lt;=$D9,AP$3+6&gt;=$C9),"■","")</x:f>
      </x:c>
      <x:c r="AQ9" s="421" t="str">
        <x:f>IF(AND(AQ$3&lt;=$D9,AQ$3+6&gt;=$C9),"■","")</x:f>
      </x:c>
      <x:c r="AR9" s="421" t="str">
        <x:f>IF(AND(AR$3&lt;=$D9,AR$3+6&gt;=$C9),"■","")</x:f>
      </x:c>
      <x:c r="AS9" s="421" t="str">
        <x:f>IF(AND(AS$3&lt;=$D9,AS$3+6&gt;=$C9),"■","")</x:f>
      </x:c>
      <x:c r="AT9" s="421" t="str">
        <x:f>IF(AND(AT$3&lt;=$D9,AT$3+6&gt;=$C9),"■","")</x:f>
      </x:c>
      <x:c r="AU9" s="421" t="str">
        <x:f>IF(AND(AU$3&lt;=$D9,AU$3+6&gt;=$C9),"■","")</x:f>
      </x:c>
      <x:c r="AV9" s="421" t="str">
        <x:f>IF(AND(AV$3&lt;=$D9,AV$3+6&gt;=$C9),"■","")</x:f>
      </x:c>
    </x:row>
    <x:row r="10" ht="26.399999618530273" hidden="0" customHeight="1">
      <x:c r="A10" s="248" t="str">
        <x:v>C2.1</x:v>
      </x:c>
      <x:c r="B10" s="248" t="str">
        <x:v>Construction</x:v>
      </x:c>
      <x:c r="C10" s="249" t="n">
        <x:v>46266</x:v>
      </x:c>
      <x:c r="D10" s="249" t="n">
        <x:v>46279</x:v>
      </x:c>
      <x:c r="E10" s="424" t="n">
        <x:f>D10-C10+1</x:f>
        <x:v>14</x:v>
      </x:c>
      <x:c r="F10" s="424" t="n">
        <x:f>SUMIFS('Календарный план'!$I$5:$I$77,'Календарный план'!$B$5:$B$77,$A10,'Календарный план'!$H$5:$H$77,"Рахматулин Р.Б.")</x:f>
        <x:v>11</x:v>
      </x:c>
      <x:c r="G10" s="424" t="n">
        <x:f>SUMIFS('Календарный план'!$I$5:$I$77,'Календарный план'!$B$5:$B$77,$A10,'Календарный план'!$H$5:$H$77,"Дементьев Н.А.")</x:f>
        <x:v>10</x:v>
      </x:c>
      <x:c r="H10" s="424" t="n">
        <x:f>F10+G10</x:f>
        <x:v>21</x:v>
      </x:c>
      <x:c r="I10" s="254" t="str">
        <x:v>Работающий модуль формирования команды</x:v>
      </x:c>
      <x:c r="J10" s="234"/>
      <x:c r="K10" s="421" t="str">
        <x:f>IF(AND(K$3&lt;=$D10,K$3+6&gt;=$C10),"■","")</x:f>
      </x:c>
      <x:c r="L10" s="421" t="str">
        <x:f>IF(AND(L$3&lt;=$D10,L$3+6&gt;=$C10),"■","")</x:f>
      </x:c>
      <x:c r="M10" s="421" t="str">
        <x:f>IF(AND(M$3&lt;=$D10,M$3+6&gt;=$C10),"■","")</x:f>
      </x:c>
      <x:c r="N10" s="421" t="str">
        <x:f>IF(AND(N$3&lt;=$D10,N$3+6&gt;=$C10),"■","")</x:f>
      </x:c>
      <x:c r="O10" s="421" t="str">
        <x:f>IF(AND(O$3&lt;=$D10,O$3+6&gt;=$C10),"■","")</x:f>
      </x:c>
      <x:c r="P10" s="421" t="str">
        <x:f>IF(AND(P$3&lt;=$D10,P$3+6&gt;=$C10),"■","")</x:f>
      </x:c>
      <x:c r="Q10" s="421" t="str">
        <x:f>IF(AND(Q$3&lt;=$D10,Q$3+6&gt;=$C10),"■","")</x:f>
      </x:c>
      <x:c r="R10" s="421" t="str">
        <x:f>IF(AND(R$3&lt;=$D10,R$3+6&gt;=$C10),"■","")</x:f>
      </x:c>
      <x:c r="S10" s="421" t="str">
        <x:f>IF(AND(S$3&lt;=$D10,S$3+6&gt;=$C10),"■","")</x:f>
      </x:c>
      <x:c r="T10" s="421" t="str">
        <x:f>IF(AND(T$3&lt;=$D10,T$3+6&gt;=$C10),"■","")</x:f>
      </x:c>
      <x:c r="U10" s="421" t="str">
        <x:f>IF(AND(U$3&lt;=$D10,U$3+6&gt;=$C10),"■","")</x:f>
      </x:c>
      <x:c r="V10" s="421" t="str">
        <x:f>IF(AND(V$3&lt;=$D10,V$3+6&gt;=$C10),"■","")</x:f>
      </x:c>
      <x:c r="W10" s="421" t="str">
        <x:f>IF(AND(W$3&lt;=$D10,W$3+6&gt;=$C10),"■","")</x:f>
      </x:c>
      <x:c r="X10" s="421" t="str">
        <x:f>IF(AND(X$3&lt;=$D10,X$3+6&gt;=$C10),"■","")</x:f>
      </x:c>
      <x:c r="Y10" s="421" t="str">
        <x:f>IF(AND(Y$3&lt;=$D10,Y$3+6&gt;=$C10),"■","")</x:f>
      </x:c>
      <x:c r="Z10" s="421" t="str">
        <x:f>IF(AND(Z$3&lt;=$D10,Z$3+6&gt;=$C10),"■","")</x:f>
      </x:c>
      <x:c r="AA10" s="421" t="str">
        <x:f>IF(AND(AA$3&lt;=$D10,AA$3+6&gt;=$C10),"■","")</x:f>
      </x:c>
      <x:c r="AB10" s="421" t="str">
        <x:f>IF(AND(AB$3&lt;=$D10,AB$3+6&gt;=$C10),"■","")</x:f>
      </x:c>
      <x:c r="AC10" s="421" t="str">
        <x:f>IF(AND(AC$3&lt;=$D10,AC$3+6&gt;=$C10),"■","")</x:f>
      </x:c>
      <x:c r="AD10" s="421" t="str">
        <x:f>IF(AND(AD$3&lt;=$D10,AD$3+6&gt;=$C10),"■","")</x:f>
      </x:c>
      <x:c r="AE10" s="421" t="str">
        <x:f>IF(AND(AE$3&lt;=$D10,AE$3+6&gt;=$C10),"■","")</x:f>
      </x:c>
      <x:c r="AF10" s="421" t="str">
        <x:f>IF(AND(AF$3&lt;=$D10,AF$3+6&gt;=$C10),"■","")</x:f>
      </x:c>
      <x:c r="AG10" s="426" t="str">
        <x:f>IF(AND(AG$3&lt;=$D10,AG$3+6&gt;=$C10),"■","")</x:f>
        <x:v>■</x:v>
      </x:c>
      <x:c r="AH10" s="426" t="str">
        <x:f>IF(AND(AH$3&lt;=$D10,AH$3+6&gt;=$C10),"■","")</x:f>
        <x:v>■</x:v>
      </x:c>
      <x:c r="AI10" s="426" t="str">
        <x:f>IF(AND(AI$3&lt;=$D10,AI$3+6&gt;=$C10),"■","")</x:f>
        <x:v>■</x:v>
      </x:c>
      <x:c r="AJ10" s="421" t="str">
        <x:f>IF(AND(AJ$3&lt;=$D10,AJ$3+6&gt;=$C10),"■","")</x:f>
      </x:c>
      <x:c r="AK10" s="421" t="str">
        <x:f>IF(AND(AK$3&lt;=$D10,AK$3+6&gt;=$C10),"■","")</x:f>
      </x:c>
      <x:c r="AL10" s="421" t="str">
        <x:f>IF(AND(AL$3&lt;=$D10,AL$3+6&gt;=$C10),"■","")</x:f>
      </x:c>
      <x:c r="AM10" s="421" t="str">
        <x:f>IF(AND(AM$3&lt;=$D10,AM$3+6&gt;=$C10),"■","")</x:f>
      </x:c>
      <x:c r="AN10" s="421" t="str">
        <x:f>IF(AND(AN$3&lt;=$D10,AN$3+6&gt;=$C10),"■","")</x:f>
      </x:c>
      <x:c r="AO10" s="421" t="str">
        <x:f>IF(AND(AO$3&lt;=$D10,AO$3+6&gt;=$C10),"■","")</x:f>
      </x:c>
      <x:c r="AP10" s="421" t="str">
        <x:f>IF(AND(AP$3&lt;=$D10,AP$3+6&gt;=$C10),"■","")</x:f>
      </x:c>
      <x:c r="AQ10" s="421" t="str">
        <x:f>IF(AND(AQ$3&lt;=$D10,AQ$3+6&gt;=$C10),"■","")</x:f>
      </x:c>
      <x:c r="AR10" s="421" t="str">
        <x:f>IF(AND(AR$3&lt;=$D10,AR$3+6&gt;=$C10),"■","")</x:f>
      </x:c>
      <x:c r="AS10" s="421" t="str">
        <x:f>IF(AND(AS$3&lt;=$D10,AS$3+6&gt;=$C10),"■","")</x:f>
      </x:c>
      <x:c r="AT10" s="421" t="str">
        <x:f>IF(AND(AT$3&lt;=$D10,AT$3+6&gt;=$C10),"■","")</x:f>
      </x:c>
      <x:c r="AU10" s="421" t="str">
        <x:f>IF(AND(AU$3&lt;=$D10,AU$3+6&gt;=$C10),"■","")</x:f>
      </x:c>
      <x:c r="AV10" s="421" t="str">
        <x:f>IF(AND(AV$3&lt;=$D10,AV$3+6&gt;=$C10),"■","")</x:f>
      </x:c>
    </x:row>
    <x:row r="11" ht="26.399999618530273" hidden="0" customHeight="1">
      <x:c r="A11" s="248" t="str">
        <x:v>C2.2</x:v>
      </x:c>
      <x:c r="B11" s="248" t="str">
        <x:v>Construction</x:v>
      </x:c>
      <x:c r="C11" s="249" t="n">
        <x:v>46280</x:v>
      </x:c>
      <x:c r="D11" s="249" t="n">
        <x:v>46293</x:v>
      </x:c>
      <x:c r="E11" s="424" t="n">
        <x:f>D11-C11+1</x:f>
        <x:v>14</x:v>
      </x:c>
      <x:c r="F11" s="424" t="n">
        <x:f>SUMIFS('Календарный план'!$I$5:$I$77,'Календарный план'!$B$5:$B$77,$A11,'Календарный план'!$H$5:$H$77,"Рахматулин Р.Б.")</x:f>
        <x:v>10</x:v>
      </x:c>
      <x:c r="G11" s="424" t="n">
        <x:f>SUMIFS('Календарный план'!$I$5:$I$77,'Календарный план'!$B$5:$B$77,$A11,'Календарный план'!$H$5:$H$77,"Дементьев Н.А.")</x:f>
        <x:v>11</x:v>
      </x:c>
      <x:c r="H11" s="424" t="n">
        <x:f>F11+G11</x:f>
        <x:v>21</x:v>
      </x:c>
      <x:c r="I11" s="254" t="str">
        <x:v>Работающий модуль подтверждения участия; v0.3-beta</x:v>
      </x:c>
      <x:c r="J11" s="234"/>
      <x:c r="K11" s="421" t="str">
        <x:f>IF(AND(K$3&lt;=$D11,K$3+6&gt;=$C11),"■","")</x:f>
      </x:c>
      <x:c r="L11" s="421" t="str">
        <x:f>IF(AND(L$3&lt;=$D11,L$3+6&gt;=$C11),"■","")</x:f>
      </x:c>
      <x:c r="M11" s="421" t="str">
        <x:f>IF(AND(M$3&lt;=$D11,M$3+6&gt;=$C11),"■","")</x:f>
      </x:c>
      <x:c r="N11" s="421" t="str">
        <x:f>IF(AND(N$3&lt;=$D11,N$3+6&gt;=$C11),"■","")</x:f>
      </x:c>
      <x:c r="O11" s="421" t="str">
        <x:f>IF(AND(O$3&lt;=$D11,O$3+6&gt;=$C11),"■","")</x:f>
      </x:c>
      <x:c r="P11" s="421" t="str">
        <x:f>IF(AND(P$3&lt;=$D11,P$3+6&gt;=$C11),"■","")</x:f>
      </x:c>
      <x:c r="Q11" s="421" t="str">
        <x:f>IF(AND(Q$3&lt;=$D11,Q$3+6&gt;=$C11),"■","")</x:f>
      </x:c>
      <x:c r="R11" s="421" t="str">
        <x:f>IF(AND(R$3&lt;=$D11,R$3+6&gt;=$C11),"■","")</x:f>
      </x:c>
      <x:c r="S11" s="421" t="str">
        <x:f>IF(AND(S$3&lt;=$D11,S$3+6&gt;=$C11),"■","")</x:f>
      </x:c>
      <x:c r="T11" s="421" t="str">
        <x:f>IF(AND(T$3&lt;=$D11,T$3+6&gt;=$C11),"■","")</x:f>
      </x:c>
      <x:c r="U11" s="421" t="str">
        <x:f>IF(AND(U$3&lt;=$D11,U$3+6&gt;=$C11),"■","")</x:f>
      </x:c>
      <x:c r="V11" s="421" t="str">
        <x:f>IF(AND(V$3&lt;=$D11,V$3+6&gt;=$C11),"■","")</x:f>
      </x:c>
      <x:c r="W11" s="421" t="str">
        <x:f>IF(AND(W$3&lt;=$D11,W$3+6&gt;=$C11),"■","")</x:f>
      </x:c>
      <x:c r="X11" s="421" t="str">
        <x:f>IF(AND(X$3&lt;=$D11,X$3+6&gt;=$C11),"■","")</x:f>
      </x:c>
      <x:c r="Y11" s="421" t="str">
        <x:f>IF(AND(Y$3&lt;=$D11,Y$3+6&gt;=$C11),"■","")</x:f>
      </x:c>
      <x:c r="Z11" s="421" t="str">
        <x:f>IF(AND(Z$3&lt;=$D11,Z$3+6&gt;=$C11),"■","")</x:f>
      </x:c>
      <x:c r="AA11" s="421" t="str">
        <x:f>IF(AND(AA$3&lt;=$D11,AA$3+6&gt;=$C11),"■","")</x:f>
      </x:c>
      <x:c r="AB11" s="421" t="str">
        <x:f>IF(AND(AB$3&lt;=$D11,AB$3+6&gt;=$C11),"■","")</x:f>
      </x:c>
      <x:c r="AC11" s="421" t="str">
        <x:f>IF(AND(AC$3&lt;=$D11,AC$3+6&gt;=$C11),"■","")</x:f>
      </x:c>
      <x:c r="AD11" s="421" t="str">
        <x:f>IF(AND(AD$3&lt;=$D11,AD$3+6&gt;=$C11),"■","")</x:f>
      </x:c>
      <x:c r="AE11" s="421" t="str">
        <x:f>IF(AND(AE$3&lt;=$D11,AE$3+6&gt;=$C11),"■","")</x:f>
      </x:c>
      <x:c r="AF11" s="421" t="str">
        <x:f>IF(AND(AF$3&lt;=$D11,AF$3+6&gt;=$C11),"■","")</x:f>
      </x:c>
      <x:c r="AG11" s="421" t="str">
        <x:f>IF(AND(AG$3&lt;=$D11,AG$3+6&gt;=$C11),"■","")</x:f>
      </x:c>
      <x:c r="AH11" s="421" t="str">
        <x:f>IF(AND(AH$3&lt;=$D11,AH$3+6&gt;=$C11),"■","")</x:f>
      </x:c>
      <x:c r="AI11" s="426" t="str">
        <x:f>IF(AND(AI$3&lt;=$D11,AI$3+6&gt;=$C11),"■","")</x:f>
        <x:v>■</x:v>
      </x:c>
      <x:c r="AJ11" s="426" t="str">
        <x:f>IF(AND(AJ$3&lt;=$D11,AJ$3+6&gt;=$C11),"■","")</x:f>
        <x:v>■</x:v>
      </x:c>
      <x:c r="AK11" s="426" t="str">
        <x:f>IF(AND(AK$3&lt;=$D11,AK$3+6&gt;=$C11),"■","")</x:f>
        <x:v>■</x:v>
      </x:c>
      <x:c r="AL11" s="421" t="str">
        <x:f>IF(AND(AL$3&lt;=$D11,AL$3+6&gt;=$C11),"■","")</x:f>
      </x:c>
      <x:c r="AM11" s="421" t="str">
        <x:f>IF(AND(AM$3&lt;=$D11,AM$3+6&gt;=$C11),"■","")</x:f>
      </x:c>
      <x:c r="AN11" s="421" t="str">
        <x:f>IF(AND(AN$3&lt;=$D11,AN$3+6&gt;=$C11),"■","")</x:f>
      </x:c>
      <x:c r="AO11" s="421" t="str">
        <x:f>IF(AND(AO$3&lt;=$D11,AO$3+6&gt;=$C11),"■","")</x:f>
      </x:c>
      <x:c r="AP11" s="421" t="str">
        <x:f>IF(AND(AP$3&lt;=$D11,AP$3+6&gt;=$C11),"■","")</x:f>
      </x:c>
      <x:c r="AQ11" s="421" t="str">
        <x:f>IF(AND(AQ$3&lt;=$D11,AQ$3+6&gt;=$C11),"■","")</x:f>
      </x:c>
      <x:c r="AR11" s="421" t="str">
        <x:f>IF(AND(AR$3&lt;=$D11,AR$3+6&gt;=$C11),"■","")</x:f>
      </x:c>
      <x:c r="AS11" s="421" t="str">
        <x:f>IF(AND(AS$3&lt;=$D11,AS$3+6&gt;=$C11),"■","")</x:f>
      </x:c>
      <x:c r="AT11" s="421" t="str">
        <x:f>IF(AND(AT$3&lt;=$D11,AT$3+6&gt;=$C11),"■","")</x:f>
      </x:c>
      <x:c r="AU11" s="421" t="str">
        <x:f>IF(AND(AU$3&lt;=$D11,AU$3+6&gt;=$C11),"■","")</x:f>
      </x:c>
      <x:c r="AV11" s="421" t="str">
        <x:f>IF(AND(AV$3&lt;=$D11,AV$3+6&gt;=$C11),"■","")</x:f>
      </x:c>
    </x:row>
    <x:row r="12" ht="26.399999618530273" hidden="0" customHeight="1">
      <x:c r="A12" s="248" t="str">
        <x:v>C3.1</x:v>
      </x:c>
      <x:c r="B12" s="248" t="str">
        <x:v>Construction</x:v>
      </x:c>
      <x:c r="C12" s="249" t="n">
        <x:v>46294</x:v>
      </x:c>
      <x:c r="D12" s="249" t="n">
        <x:v>46307</x:v>
      </x:c>
      <x:c r="E12" s="424" t="n">
        <x:f>D12-C12+1</x:f>
        <x:v>14</x:v>
      </x:c>
      <x:c r="F12" s="424" t="n">
        <x:f>SUMIFS('Календарный план'!$I$5:$I$77,'Календарный план'!$B$5:$B$77,$A12,'Календарный план'!$H$5:$H$77,"Рахматулин Р.Б.")</x:f>
        <x:v>11</x:v>
      </x:c>
      <x:c r="G12" s="424" t="n">
        <x:f>SUMIFS('Календарный план'!$I$5:$I$77,'Календарный план'!$B$5:$B$77,$A12,'Календарный план'!$H$5:$H$77,"Дементьев Н.А.")</x:f>
        <x:v>10</x:v>
      </x:c>
      <x:c r="H12" s="424" t="n">
        <x:f>F12+G12</x:f>
        <x:v>21</x:v>
      </x:c>
      <x:c r="I12" s="254" t="str">
        <x:v>Работающий модуль учёта результатов</x:v>
      </x:c>
      <x:c r="J12" s="234"/>
      <x:c r="K12" s="421" t="str">
        <x:f>IF(AND(K$3&lt;=$D12,K$3+6&gt;=$C12),"■","")</x:f>
      </x:c>
      <x:c r="L12" s="421" t="str">
        <x:f>IF(AND(L$3&lt;=$D12,L$3+6&gt;=$C12),"■","")</x:f>
      </x:c>
      <x:c r="M12" s="421" t="str">
        <x:f>IF(AND(M$3&lt;=$D12,M$3+6&gt;=$C12),"■","")</x:f>
      </x:c>
      <x:c r="N12" s="421" t="str">
        <x:f>IF(AND(N$3&lt;=$D12,N$3+6&gt;=$C12),"■","")</x:f>
      </x:c>
      <x:c r="O12" s="421" t="str">
        <x:f>IF(AND(O$3&lt;=$D12,O$3+6&gt;=$C12),"■","")</x:f>
      </x:c>
      <x:c r="P12" s="421" t="str">
        <x:f>IF(AND(P$3&lt;=$D12,P$3+6&gt;=$C12),"■","")</x:f>
      </x:c>
      <x:c r="Q12" s="421" t="str">
        <x:f>IF(AND(Q$3&lt;=$D12,Q$3+6&gt;=$C12),"■","")</x:f>
      </x:c>
      <x:c r="R12" s="421" t="str">
        <x:f>IF(AND(R$3&lt;=$D12,R$3+6&gt;=$C12),"■","")</x:f>
      </x:c>
      <x:c r="S12" s="421" t="str">
        <x:f>IF(AND(S$3&lt;=$D12,S$3+6&gt;=$C12),"■","")</x:f>
      </x:c>
      <x:c r="T12" s="421" t="str">
        <x:f>IF(AND(T$3&lt;=$D12,T$3+6&gt;=$C12),"■","")</x:f>
      </x:c>
      <x:c r="U12" s="421" t="str">
        <x:f>IF(AND(U$3&lt;=$D12,U$3+6&gt;=$C12),"■","")</x:f>
      </x:c>
      <x:c r="V12" s="421" t="str">
        <x:f>IF(AND(V$3&lt;=$D12,V$3+6&gt;=$C12),"■","")</x:f>
      </x:c>
      <x:c r="W12" s="421" t="str">
        <x:f>IF(AND(W$3&lt;=$D12,W$3+6&gt;=$C12),"■","")</x:f>
      </x:c>
      <x:c r="X12" s="421" t="str">
        <x:f>IF(AND(X$3&lt;=$D12,X$3+6&gt;=$C12),"■","")</x:f>
      </x:c>
      <x:c r="Y12" s="421" t="str">
        <x:f>IF(AND(Y$3&lt;=$D12,Y$3+6&gt;=$C12),"■","")</x:f>
      </x:c>
      <x:c r="Z12" s="421" t="str">
        <x:f>IF(AND(Z$3&lt;=$D12,Z$3+6&gt;=$C12),"■","")</x:f>
      </x:c>
      <x:c r="AA12" s="421" t="str">
        <x:f>IF(AND(AA$3&lt;=$D12,AA$3+6&gt;=$C12),"■","")</x:f>
      </x:c>
      <x:c r="AB12" s="421" t="str">
        <x:f>IF(AND(AB$3&lt;=$D12,AB$3+6&gt;=$C12),"■","")</x:f>
      </x:c>
      <x:c r="AC12" s="421" t="str">
        <x:f>IF(AND(AC$3&lt;=$D12,AC$3+6&gt;=$C12),"■","")</x:f>
      </x:c>
      <x:c r="AD12" s="421" t="str">
        <x:f>IF(AND(AD$3&lt;=$D12,AD$3+6&gt;=$C12),"■","")</x:f>
      </x:c>
      <x:c r="AE12" s="421" t="str">
        <x:f>IF(AND(AE$3&lt;=$D12,AE$3+6&gt;=$C12),"■","")</x:f>
      </x:c>
      <x:c r="AF12" s="421" t="str">
        <x:f>IF(AND(AF$3&lt;=$D12,AF$3+6&gt;=$C12),"■","")</x:f>
      </x:c>
      <x:c r="AG12" s="421" t="str">
        <x:f>IF(AND(AG$3&lt;=$D12,AG$3+6&gt;=$C12),"■","")</x:f>
      </x:c>
      <x:c r="AH12" s="421" t="str">
        <x:f>IF(AND(AH$3&lt;=$D12,AH$3+6&gt;=$C12),"■","")</x:f>
      </x:c>
      <x:c r="AI12" s="421" t="str">
        <x:f>IF(AND(AI$3&lt;=$D12,AI$3+6&gt;=$C12),"■","")</x:f>
      </x:c>
      <x:c r="AJ12" s="421" t="str">
        <x:f>IF(AND(AJ$3&lt;=$D12,AJ$3+6&gt;=$C12),"■","")</x:f>
      </x:c>
      <x:c r="AK12" s="426" t="str">
        <x:f>IF(AND(AK$3&lt;=$D12,AK$3+6&gt;=$C12),"■","")</x:f>
        <x:v>■</x:v>
      </x:c>
      <x:c r="AL12" s="426" t="str">
        <x:f>IF(AND(AL$3&lt;=$D12,AL$3+6&gt;=$C12),"■","")</x:f>
        <x:v>■</x:v>
      </x:c>
      <x:c r="AM12" s="426" t="str">
        <x:f>IF(AND(AM$3&lt;=$D12,AM$3+6&gt;=$C12),"■","")</x:f>
        <x:v>■</x:v>
      </x:c>
      <x:c r="AN12" s="421" t="str">
        <x:f>IF(AND(AN$3&lt;=$D12,AN$3+6&gt;=$C12),"■","")</x:f>
      </x:c>
      <x:c r="AO12" s="421" t="str">
        <x:f>IF(AND(AO$3&lt;=$D12,AO$3+6&gt;=$C12),"■","")</x:f>
      </x:c>
      <x:c r="AP12" s="421" t="str">
        <x:f>IF(AND(AP$3&lt;=$D12,AP$3+6&gt;=$C12),"■","")</x:f>
      </x:c>
      <x:c r="AQ12" s="421" t="str">
        <x:f>IF(AND(AQ$3&lt;=$D12,AQ$3+6&gt;=$C12),"■","")</x:f>
      </x:c>
      <x:c r="AR12" s="421" t="str">
        <x:f>IF(AND(AR$3&lt;=$D12,AR$3+6&gt;=$C12),"■","")</x:f>
      </x:c>
      <x:c r="AS12" s="421" t="str">
        <x:f>IF(AND(AS$3&lt;=$D12,AS$3+6&gt;=$C12),"■","")</x:f>
      </x:c>
      <x:c r="AT12" s="421" t="str">
        <x:f>IF(AND(AT$3&lt;=$D12,AT$3+6&gt;=$C12),"■","")</x:f>
      </x:c>
      <x:c r="AU12" s="421" t="str">
        <x:f>IF(AND(AU$3&lt;=$D12,AU$3+6&gt;=$C12),"■","")</x:f>
      </x:c>
      <x:c r="AV12" s="421" t="str">
        <x:f>IF(AND(AV$3&lt;=$D12,AV$3+6&gt;=$C12),"■","")</x:f>
      </x:c>
    </x:row>
    <x:row r="13" ht="26.399999618530273" hidden="0" customHeight="1">
      <x:c r="A13" s="248" t="str">
        <x:v>C3.2</x:v>
      </x:c>
      <x:c r="B13" s="248" t="str">
        <x:v>Construction</x:v>
      </x:c>
      <x:c r="C13" s="249" t="n">
        <x:v>46308</x:v>
      </x:c>
      <x:c r="D13" s="249" t="n">
        <x:v>46321</x:v>
      </x:c>
      <x:c r="E13" s="424" t="n">
        <x:f>D13-C13+1</x:f>
        <x:v>14</x:v>
      </x:c>
      <x:c r="F13" s="424" t="n">
        <x:f>SUMIFS('Календарный план'!$I$5:$I$77,'Календарный план'!$B$5:$B$77,$A13,'Календарный план'!$H$5:$H$77,"Рахматулин Р.Б.")</x:f>
        <x:v>10</x:v>
      </x:c>
      <x:c r="G13" s="424" t="n">
        <x:f>SUMIFS('Календарный план'!$I$5:$I$77,'Календарный план'!$B$5:$B$77,$A13,'Календарный план'!$H$5:$H$77,"Дементьев Н.А.")</x:f>
        <x:v>11</x:v>
      </x:c>
      <x:c r="H13" s="424" t="n">
        <x:f>F13+G13</x:f>
        <x:v>21</x:v>
      </x:c>
      <x:c r="I13" s="254" t="str">
        <x:v>Все обязательные функции первой рабочей версии; сквозной сценарий UC3</x:v>
      </x:c>
      <x:c r="J13" s="234"/>
      <x:c r="K13" s="421" t="str">
        <x:f>IF(AND(K$3&lt;=$D13,K$3+6&gt;=$C13),"■","")</x:f>
      </x:c>
      <x:c r="L13" s="421" t="str">
        <x:f>IF(AND(L$3&lt;=$D13,L$3+6&gt;=$C13),"■","")</x:f>
      </x:c>
      <x:c r="M13" s="421" t="str">
        <x:f>IF(AND(M$3&lt;=$D13,M$3+6&gt;=$C13),"■","")</x:f>
      </x:c>
      <x:c r="N13" s="421" t="str">
        <x:f>IF(AND(N$3&lt;=$D13,N$3+6&gt;=$C13),"■","")</x:f>
      </x:c>
      <x:c r="O13" s="421" t="str">
        <x:f>IF(AND(O$3&lt;=$D13,O$3+6&gt;=$C13),"■","")</x:f>
      </x:c>
      <x:c r="P13" s="421" t="str">
        <x:f>IF(AND(P$3&lt;=$D13,P$3+6&gt;=$C13),"■","")</x:f>
      </x:c>
      <x:c r="Q13" s="421" t="str">
        <x:f>IF(AND(Q$3&lt;=$D13,Q$3+6&gt;=$C13),"■","")</x:f>
      </x:c>
      <x:c r="R13" s="421" t="str">
        <x:f>IF(AND(R$3&lt;=$D13,R$3+6&gt;=$C13),"■","")</x:f>
      </x:c>
      <x:c r="S13" s="421" t="str">
        <x:f>IF(AND(S$3&lt;=$D13,S$3+6&gt;=$C13),"■","")</x:f>
      </x:c>
      <x:c r="T13" s="421" t="str">
        <x:f>IF(AND(T$3&lt;=$D13,T$3+6&gt;=$C13),"■","")</x:f>
      </x:c>
      <x:c r="U13" s="421" t="str">
        <x:f>IF(AND(U$3&lt;=$D13,U$3+6&gt;=$C13),"■","")</x:f>
      </x:c>
      <x:c r="V13" s="421" t="str">
        <x:f>IF(AND(V$3&lt;=$D13,V$3+6&gt;=$C13),"■","")</x:f>
      </x:c>
      <x:c r="W13" s="421" t="str">
        <x:f>IF(AND(W$3&lt;=$D13,W$3+6&gt;=$C13),"■","")</x:f>
      </x:c>
      <x:c r="X13" s="421" t="str">
        <x:f>IF(AND(X$3&lt;=$D13,X$3+6&gt;=$C13),"■","")</x:f>
      </x:c>
      <x:c r="Y13" s="421" t="str">
        <x:f>IF(AND(Y$3&lt;=$D13,Y$3+6&gt;=$C13),"■","")</x:f>
      </x:c>
      <x:c r="Z13" s="421" t="str">
        <x:f>IF(AND(Z$3&lt;=$D13,Z$3+6&gt;=$C13),"■","")</x:f>
      </x:c>
      <x:c r="AA13" s="421" t="str">
        <x:f>IF(AND(AA$3&lt;=$D13,AA$3+6&gt;=$C13),"■","")</x:f>
      </x:c>
      <x:c r="AB13" s="421" t="str">
        <x:f>IF(AND(AB$3&lt;=$D13,AB$3+6&gt;=$C13),"■","")</x:f>
      </x:c>
      <x:c r="AC13" s="421" t="str">
        <x:f>IF(AND(AC$3&lt;=$D13,AC$3+6&gt;=$C13),"■","")</x:f>
      </x:c>
      <x:c r="AD13" s="421" t="str">
        <x:f>IF(AND(AD$3&lt;=$D13,AD$3+6&gt;=$C13),"■","")</x:f>
      </x:c>
      <x:c r="AE13" s="421" t="str">
        <x:f>IF(AND(AE$3&lt;=$D13,AE$3+6&gt;=$C13),"■","")</x:f>
      </x:c>
      <x:c r="AF13" s="421" t="str">
        <x:f>IF(AND(AF$3&lt;=$D13,AF$3+6&gt;=$C13),"■","")</x:f>
      </x:c>
      <x:c r="AG13" s="421" t="str">
        <x:f>IF(AND(AG$3&lt;=$D13,AG$3+6&gt;=$C13),"■","")</x:f>
      </x:c>
      <x:c r="AH13" s="421" t="str">
        <x:f>IF(AND(AH$3&lt;=$D13,AH$3+6&gt;=$C13),"■","")</x:f>
      </x:c>
      <x:c r="AI13" s="421" t="str">
        <x:f>IF(AND(AI$3&lt;=$D13,AI$3+6&gt;=$C13),"■","")</x:f>
      </x:c>
      <x:c r="AJ13" s="421" t="str">
        <x:f>IF(AND(AJ$3&lt;=$D13,AJ$3+6&gt;=$C13),"■","")</x:f>
      </x:c>
      <x:c r="AK13" s="421" t="str">
        <x:f>IF(AND(AK$3&lt;=$D13,AK$3+6&gt;=$C13),"■","")</x:f>
      </x:c>
      <x:c r="AL13" s="421" t="str">
        <x:f>IF(AND(AL$3&lt;=$D13,AL$3+6&gt;=$C13),"■","")</x:f>
      </x:c>
      <x:c r="AM13" s="426" t="str">
        <x:f>IF(AND(AM$3&lt;=$D13,AM$3+6&gt;=$C13),"■","")</x:f>
        <x:v>■</x:v>
      </x:c>
      <x:c r="AN13" s="426" t="str">
        <x:f>IF(AND(AN$3&lt;=$D13,AN$3+6&gt;=$C13),"■","")</x:f>
        <x:v>■</x:v>
      </x:c>
      <x:c r="AO13" s="426" t="str">
        <x:f>IF(AND(AO$3&lt;=$D13,AO$3+6&gt;=$C13),"■","")</x:f>
        <x:v>■</x:v>
      </x:c>
      <x:c r="AP13" s="421" t="str">
        <x:f>IF(AND(AP$3&lt;=$D13,AP$3+6&gt;=$C13),"■","")</x:f>
      </x:c>
      <x:c r="AQ13" s="421" t="str">
        <x:f>IF(AND(AQ$3&lt;=$D13,AQ$3+6&gt;=$C13),"■","")</x:f>
      </x:c>
      <x:c r="AR13" s="421" t="str">
        <x:f>IF(AND(AR$3&lt;=$D13,AR$3+6&gt;=$C13),"■","")</x:f>
      </x:c>
      <x:c r="AS13" s="421" t="str">
        <x:f>IF(AND(AS$3&lt;=$D13,AS$3+6&gt;=$C13),"■","")</x:f>
      </x:c>
      <x:c r="AT13" s="421" t="str">
        <x:f>IF(AND(AT$3&lt;=$D13,AT$3+6&gt;=$C13),"■","")</x:f>
      </x:c>
      <x:c r="AU13" s="421" t="str">
        <x:f>IF(AND(AU$3&lt;=$D13,AU$3+6&gt;=$C13),"■","")</x:f>
      </x:c>
      <x:c r="AV13" s="421" t="str">
        <x:f>IF(AND(AV$3&lt;=$D13,AV$3+6&gt;=$C13),"■","")</x:f>
      </x:c>
    </x:row>
    <x:row r="14" ht="15" hidden="0" customHeight="1">
      <x:c r="A14" s="248" t="str">
        <x:v>T1</x:v>
      </x:c>
      <x:c r="B14" s="248" t="str">
        <x:v>Transition</x:v>
      </x:c>
      <x:c r="C14" s="249" t="n">
        <x:v>46322</x:v>
      </x:c>
      <x:c r="D14" s="249" t="n">
        <x:v>46335</x:v>
      </x:c>
      <x:c r="E14" s="424" t="n">
        <x:f>D14-C14+1</x:f>
        <x:v>14</x:v>
      </x:c>
      <x:c r="F14" s="424" t="n">
        <x:f>SUMIFS('Календарный план'!$I$5:$I$77,'Календарный план'!$B$5:$B$77,$A14,'Календарный план'!$H$5:$H$77,"Рахматулин Р.Б.")</x:f>
        <x:v>7</x:v>
      </x:c>
      <x:c r="G14" s="424" t="n">
        <x:f>SUMIFS('Календарный план'!$I$5:$I$77,'Календарный план'!$B$5:$B$77,$A14,'Календарный план'!$H$5:$H$77,"Дементьев Н.А.")</x:f>
        <x:v>7</x:v>
      </x:c>
      <x:c r="H14" s="424" t="n">
        <x:f>F14+G14</x:f>
        <x:v>14</x:v>
      </x:c>
      <x:c r="I14" s="254" t="str">
        <x:v>Стабильная сборка v1.0-rc</x:v>
      </x:c>
      <x:c r="J14" s="234"/>
      <x:c r="K14" s="421" t="str">
        <x:f>IF(AND(K$3&lt;=$D14,K$3+6&gt;=$C14),"■","")</x:f>
      </x:c>
      <x:c r="L14" s="421" t="str">
        <x:f>IF(AND(L$3&lt;=$D14,L$3+6&gt;=$C14),"■","")</x:f>
      </x:c>
      <x:c r="M14" s="421" t="str">
        <x:f>IF(AND(M$3&lt;=$D14,M$3+6&gt;=$C14),"■","")</x:f>
      </x:c>
      <x:c r="N14" s="421" t="str">
        <x:f>IF(AND(N$3&lt;=$D14,N$3+6&gt;=$C14),"■","")</x:f>
      </x:c>
      <x:c r="O14" s="421" t="str">
        <x:f>IF(AND(O$3&lt;=$D14,O$3+6&gt;=$C14),"■","")</x:f>
      </x:c>
      <x:c r="P14" s="421" t="str">
        <x:f>IF(AND(P$3&lt;=$D14,P$3+6&gt;=$C14),"■","")</x:f>
      </x:c>
      <x:c r="Q14" s="421" t="str">
        <x:f>IF(AND(Q$3&lt;=$D14,Q$3+6&gt;=$C14),"■","")</x:f>
      </x:c>
      <x:c r="R14" s="421" t="str">
        <x:f>IF(AND(R$3&lt;=$D14,R$3+6&gt;=$C14),"■","")</x:f>
      </x:c>
      <x:c r="S14" s="421" t="str">
        <x:f>IF(AND(S$3&lt;=$D14,S$3+6&gt;=$C14),"■","")</x:f>
      </x:c>
      <x:c r="T14" s="421" t="str">
        <x:f>IF(AND(T$3&lt;=$D14,T$3+6&gt;=$C14),"■","")</x:f>
      </x:c>
      <x:c r="U14" s="421" t="str">
        <x:f>IF(AND(U$3&lt;=$D14,U$3+6&gt;=$C14),"■","")</x:f>
      </x:c>
      <x:c r="V14" s="421" t="str">
        <x:f>IF(AND(V$3&lt;=$D14,V$3+6&gt;=$C14),"■","")</x:f>
      </x:c>
      <x:c r="W14" s="421" t="str">
        <x:f>IF(AND(W$3&lt;=$D14,W$3+6&gt;=$C14),"■","")</x:f>
      </x:c>
      <x:c r="X14" s="421" t="str">
        <x:f>IF(AND(X$3&lt;=$D14,X$3+6&gt;=$C14),"■","")</x:f>
      </x:c>
      <x:c r="Y14" s="421" t="str">
        <x:f>IF(AND(Y$3&lt;=$D14,Y$3+6&gt;=$C14),"■","")</x:f>
      </x:c>
      <x:c r="Z14" s="421" t="str">
        <x:f>IF(AND(Z$3&lt;=$D14,Z$3+6&gt;=$C14),"■","")</x:f>
      </x:c>
      <x:c r="AA14" s="421" t="str">
        <x:f>IF(AND(AA$3&lt;=$D14,AA$3+6&gt;=$C14),"■","")</x:f>
      </x:c>
      <x:c r="AB14" s="421" t="str">
        <x:f>IF(AND(AB$3&lt;=$D14,AB$3+6&gt;=$C14),"■","")</x:f>
      </x:c>
      <x:c r="AC14" s="421" t="str">
        <x:f>IF(AND(AC$3&lt;=$D14,AC$3+6&gt;=$C14),"■","")</x:f>
      </x:c>
      <x:c r="AD14" s="421" t="str">
        <x:f>IF(AND(AD$3&lt;=$D14,AD$3+6&gt;=$C14),"■","")</x:f>
      </x:c>
      <x:c r="AE14" s="421" t="str">
        <x:f>IF(AND(AE$3&lt;=$D14,AE$3+6&gt;=$C14),"■","")</x:f>
      </x:c>
      <x:c r="AF14" s="421" t="str">
        <x:f>IF(AND(AF$3&lt;=$D14,AF$3+6&gt;=$C14),"■","")</x:f>
      </x:c>
      <x:c r="AG14" s="421" t="str">
        <x:f>IF(AND(AG$3&lt;=$D14,AG$3+6&gt;=$C14),"■","")</x:f>
      </x:c>
      <x:c r="AH14" s="421" t="str">
        <x:f>IF(AND(AH$3&lt;=$D14,AH$3+6&gt;=$C14),"■","")</x:f>
      </x:c>
      <x:c r="AI14" s="421" t="str">
        <x:f>IF(AND(AI$3&lt;=$D14,AI$3+6&gt;=$C14),"■","")</x:f>
      </x:c>
      <x:c r="AJ14" s="421" t="str">
        <x:f>IF(AND(AJ$3&lt;=$D14,AJ$3+6&gt;=$C14),"■","")</x:f>
      </x:c>
      <x:c r="AK14" s="421" t="str">
        <x:f>IF(AND(AK$3&lt;=$D14,AK$3+6&gt;=$C14),"■","")</x:f>
      </x:c>
      <x:c r="AL14" s="421" t="str">
        <x:f>IF(AND(AL$3&lt;=$D14,AL$3+6&gt;=$C14),"■","")</x:f>
      </x:c>
      <x:c r="AM14" s="421" t="str">
        <x:f>IF(AND(AM$3&lt;=$D14,AM$3+6&gt;=$C14),"■","")</x:f>
      </x:c>
      <x:c r="AN14" s="421" t="str">
        <x:f>IF(AND(AN$3&lt;=$D14,AN$3+6&gt;=$C14),"■","")</x:f>
      </x:c>
      <x:c r="AO14" s="426" t="str">
        <x:f>IF(AND(AO$3&lt;=$D14,AO$3+6&gt;=$C14),"■","")</x:f>
        <x:v>■</x:v>
      </x:c>
      <x:c r="AP14" s="426" t="str">
        <x:f>IF(AND(AP$3&lt;=$D14,AP$3+6&gt;=$C14),"■","")</x:f>
        <x:v>■</x:v>
      </x:c>
      <x:c r="AQ14" s="426" t="str">
        <x:f>IF(AND(AQ$3&lt;=$D14,AQ$3+6&gt;=$C14),"■","")</x:f>
        <x:v>■</x:v>
      </x:c>
      <x:c r="AR14" s="421" t="str">
        <x:f>IF(AND(AR$3&lt;=$D14,AR$3+6&gt;=$C14),"■","")</x:f>
      </x:c>
      <x:c r="AS14" s="421" t="str">
        <x:f>IF(AND(AS$3&lt;=$D14,AS$3+6&gt;=$C14),"■","")</x:f>
      </x:c>
      <x:c r="AT14" s="421" t="str">
        <x:f>IF(AND(AT$3&lt;=$D14,AT$3+6&gt;=$C14),"■","")</x:f>
      </x:c>
      <x:c r="AU14" s="421" t="str">
        <x:f>IF(AND(AU$3&lt;=$D14,AU$3+6&gt;=$C14),"■","")</x:f>
      </x:c>
      <x:c r="AV14" s="421" t="str">
        <x:f>IF(AND(AV$3&lt;=$D14,AV$3+6&gt;=$C14),"■","")</x:f>
      </x:c>
    </x:row>
    <x:row r="15" ht="26.399999618530273" hidden="0" customHeight="1">
      <x:c r="A15" s="248" t="str">
        <x:v>T2</x:v>
      </x:c>
      <x:c r="B15" s="248" t="str">
        <x:v>Transition</x:v>
      </x:c>
      <x:c r="C15" s="249" t="n">
        <x:v>46336</x:v>
      </x:c>
      <x:c r="D15" s="249" t="n">
        <x:v>46349</x:v>
      </x:c>
      <x:c r="E15" s="424" t="n">
        <x:f>D15-C15+1</x:f>
        <x:v>14</x:v>
      </x:c>
      <x:c r="F15" s="424" t="n">
        <x:f>SUMIFS('Календарный план'!$I$5:$I$77,'Календарный план'!$B$5:$B$77,$A15,'Календарный план'!$H$5:$H$77,"Рахматулин Р.Б.")</x:f>
        <x:v>7</x:v>
      </x:c>
      <x:c r="G15" s="424" t="n">
        <x:f>SUMIFS('Календарный план'!$I$5:$I$77,'Календарный план'!$B$5:$B$77,$A15,'Календарный план'!$H$5:$H$77,"Дементьев Н.А.")</x:f>
        <x:v>7</x:v>
      </x:c>
      <x:c r="H15" s="424" t="n">
        <x:f>F15+G15</x:f>
        <x:v>14</x:v>
      </x:c>
      <x:c r="I15" s="254" t="str">
        <x:v>Результаты нагрузочного тестирования; документация программного интерфейса</x:v>
      </x:c>
      <x:c r="J15" s="234"/>
      <x:c r="K15" s="421" t="str">
        <x:f>IF(AND(K$3&lt;=$D15,K$3+6&gt;=$C15),"■","")</x:f>
      </x:c>
      <x:c r="L15" s="421" t="str">
        <x:f>IF(AND(L$3&lt;=$D15,L$3+6&gt;=$C15),"■","")</x:f>
      </x:c>
      <x:c r="M15" s="421" t="str">
        <x:f>IF(AND(M$3&lt;=$D15,M$3+6&gt;=$C15),"■","")</x:f>
      </x:c>
      <x:c r="N15" s="421" t="str">
        <x:f>IF(AND(N$3&lt;=$D15,N$3+6&gt;=$C15),"■","")</x:f>
      </x:c>
      <x:c r="O15" s="421" t="str">
        <x:f>IF(AND(O$3&lt;=$D15,O$3+6&gt;=$C15),"■","")</x:f>
      </x:c>
      <x:c r="P15" s="421" t="str">
        <x:f>IF(AND(P$3&lt;=$D15,P$3+6&gt;=$C15),"■","")</x:f>
      </x:c>
      <x:c r="Q15" s="421" t="str">
        <x:f>IF(AND(Q$3&lt;=$D15,Q$3+6&gt;=$C15),"■","")</x:f>
      </x:c>
      <x:c r="R15" s="421" t="str">
        <x:f>IF(AND(R$3&lt;=$D15,R$3+6&gt;=$C15),"■","")</x:f>
      </x:c>
      <x:c r="S15" s="421" t="str">
        <x:f>IF(AND(S$3&lt;=$D15,S$3+6&gt;=$C15),"■","")</x:f>
      </x:c>
      <x:c r="T15" s="421" t="str">
        <x:f>IF(AND(T$3&lt;=$D15,T$3+6&gt;=$C15),"■","")</x:f>
      </x:c>
      <x:c r="U15" s="421" t="str">
        <x:f>IF(AND(U$3&lt;=$D15,U$3+6&gt;=$C15),"■","")</x:f>
      </x:c>
      <x:c r="V15" s="421" t="str">
        <x:f>IF(AND(V$3&lt;=$D15,V$3+6&gt;=$C15),"■","")</x:f>
      </x:c>
      <x:c r="W15" s="421" t="str">
        <x:f>IF(AND(W$3&lt;=$D15,W$3+6&gt;=$C15),"■","")</x:f>
      </x:c>
      <x:c r="X15" s="421" t="str">
        <x:f>IF(AND(X$3&lt;=$D15,X$3+6&gt;=$C15),"■","")</x:f>
      </x:c>
      <x:c r="Y15" s="421" t="str">
        <x:f>IF(AND(Y$3&lt;=$D15,Y$3+6&gt;=$C15),"■","")</x:f>
      </x:c>
      <x:c r="Z15" s="421" t="str">
        <x:f>IF(AND(Z$3&lt;=$D15,Z$3+6&gt;=$C15),"■","")</x:f>
      </x:c>
      <x:c r="AA15" s="421" t="str">
        <x:f>IF(AND(AA$3&lt;=$D15,AA$3+6&gt;=$C15),"■","")</x:f>
      </x:c>
      <x:c r="AB15" s="421" t="str">
        <x:f>IF(AND(AB$3&lt;=$D15,AB$3+6&gt;=$C15),"■","")</x:f>
      </x:c>
      <x:c r="AC15" s="421" t="str">
        <x:f>IF(AND(AC$3&lt;=$D15,AC$3+6&gt;=$C15),"■","")</x:f>
      </x:c>
      <x:c r="AD15" s="421" t="str">
        <x:f>IF(AND(AD$3&lt;=$D15,AD$3+6&gt;=$C15),"■","")</x:f>
      </x:c>
      <x:c r="AE15" s="421" t="str">
        <x:f>IF(AND(AE$3&lt;=$D15,AE$3+6&gt;=$C15),"■","")</x:f>
      </x:c>
      <x:c r="AF15" s="421" t="str">
        <x:f>IF(AND(AF$3&lt;=$D15,AF$3+6&gt;=$C15),"■","")</x:f>
      </x:c>
      <x:c r="AG15" s="421" t="str">
        <x:f>IF(AND(AG$3&lt;=$D15,AG$3+6&gt;=$C15),"■","")</x:f>
      </x:c>
      <x:c r="AH15" s="421" t="str">
        <x:f>IF(AND(AH$3&lt;=$D15,AH$3+6&gt;=$C15),"■","")</x:f>
      </x:c>
      <x:c r="AI15" s="421" t="str">
        <x:f>IF(AND(AI$3&lt;=$D15,AI$3+6&gt;=$C15),"■","")</x:f>
      </x:c>
      <x:c r="AJ15" s="421" t="str">
        <x:f>IF(AND(AJ$3&lt;=$D15,AJ$3+6&gt;=$C15),"■","")</x:f>
      </x:c>
      <x:c r="AK15" s="421" t="str">
        <x:f>IF(AND(AK$3&lt;=$D15,AK$3+6&gt;=$C15),"■","")</x:f>
      </x:c>
      <x:c r="AL15" s="421" t="str">
        <x:f>IF(AND(AL$3&lt;=$D15,AL$3+6&gt;=$C15),"■","")</x:f>
      </x:c>
      <x:c r="AM15" s="421" t="str">
        <x:f>IF(AND(AM$3&lt;=$D15,AM$3+6&gt;=$C15),"■","")</x:f>
      </x:c>
      <x:c r="AN15" s="421" t="str">
        <x:f>IF(AND(AN$3&lt;=$D15,AN$3+6&gt;=$C15),"■","")</x:f>
      </x:c>
      <x:c r="AO15" s="421" t="str">
        <x:f>IF(AND(AO$3&lt;=$D15,AO$3+6&gt;=$C15),"■","")</x:f>
      </x:c>
      <x:c r="AP15" s="421" t="str">
        <x:f>IF(AND(AP$3&lt;=$D15,AP$3+6&gt;=$C15),"■","")</x:f>
      </x:c>
      <x:c r="AQ15" s="426" t="str">
        <x:f>IF(AND(AQ$3&lt;=$D15,AQ$3+6&gt;=$C15),"■","")</x:f>
        <x:v>■</x:v>
      </x:c>
      <x:c r="AR15" s="426" t="str">
        <x:f>IF(AND(AR$3&lt;=$D15,AR$3+6&gt;=$C15),"■","")</x:f>
        <x:v>■</x:v>
      </x:c>
      <x:c r="AS15" s="426" t="str">
        <x:f>IF(AND(AS$3&lt;=$D15,AS$3+6&gt;=$C15),"■","")</x:f>
        <x:v>■</x:v>
      </x:c>
      <x:c r="AT15" s="421" t="str">
        <x:f>IF(AND(AT$3&lt;=$D15,AT$3+6&gt;=$C15),"■","")</x:f>
      </x:c>
      <x:c r="AU15" s="421" t="str">
        <x:f>IF(AND(AU$3&lt;=$D15,AU$3+6&gt;=$C15),"■","")</x:f>
      </x:c>
      <x:c r="AV15" s="421" t="str">
        <x:f>IF(AND(AV$3&lt;=$D15,AV$3+6&gt;=$C15),"■","")</x:f>
      </x:c>
    </x:row>
    <x:row r="16" ht="26.399999618530273" hidden="0" customHeight="1">
      <x:c r="A16" s="248" t="str">
        <x:v>T3</x:v>
      </x:c>
      <x:c r="B16" s="248" t="str">
        <x:v>Transition</x:v>
      </x:c>
      <x:c r="C16" s="249" t="n">
        <x:v>46350</x:v>
      </x:c>
      <x:c r="D16" s="249" t="n">
        <x:v>46371</x:v>
      </x:c>
      <x:c r="E16" s="424" t="n">
        <x:f>D16-C16+1</x:f>
        <x:v>22</x:v>
      </x:c>
      <x:c r="F16" s="424" t="n">
        <x:f>SUMIFS('Календарный план'!$I$5:$I$77,'Календарный план'!$B$5:$B$77,$A16,'Календарный план'!$H$5:$H$77,"Рахматулин Р.Б.")</x:f>
        <x:v>7</x:v>
      </x:c>
      <x:c r="G16" s="424" t="n">
        <x:f>SUMIFS('Календарный план'!$I$5:$I$77,'Календарный план'!$B$5:$B$77,$A16,'Календарный план'!$H$5:$H$77,"Дементьев Н.А.")</x:f>
        <x:v>7</x:v>
      </x:c>
      <x:c r="H16" s="424" t="n">
        <x:f>F16+G16</x:f>
        <x:v>14</x:v>
      </x:c>
      <x:c r="I16" s="254" t="str">
        <x:v>Принятое приложение v1.0; финальная документация</x:v>
      </x:c>
      <x:c r="J16" s="327"/>
      <x:c r="K16" s="421" t="str">
        <x:f>IF(AND(K$3&lt;=$D16,K$3+6&gt;=$C16),"■","")</x:f>
      </x:c>
      <x:c r="L16" s="421" t="str">
        <x:f>IF(AND(L$3&lt;=$D16,L$3+6&gt;=$C16),"■","")</x:f>
      </x:c>
      <x:c r="M16" s="421" t="str">
        <x:f>IF(AND(M$3&lt;=$D16,M$3+6&gt;=$C16),"■","")</x:f>
      </x:c>
      <x:c r="N16" s="421" t="str">
        <x:f>IF(AND(N$3&lt;=$D16,N$3+6&gt;=$C16),"■","")</x:f>
      </x:c>
      <x:c r="O16" s="421" t="str">
        <x:f>IF(AND(O$3&lt;=$D16,O$3+6&gt;=$C16),"■","")</x:f>
      </x:c>
      <x:c r="P16" s="421" t="str">
        <x:f>IF(AND(P$3&lt;=$D16,P$3+6&gt;=$C16),"■","")</x:f>
      </x:c>
      <x:c r="Q16" s="421" t="str">
        <x:f>IF(AND(Q$3&lt;=$D16,Q$3+6&gt;=$C16),"■","")</x:f>
      </x:c>
      <x:c r="R16" s="421" t="str">
        <x:f>IF(AND(R$3&lt;=$D16,R$3+6&gt;=$C16),"■","")</x:f>
      </x:c>
      <x:c r="S16" s="421" t="str">
        <x:f>IF(AND(S$3&lt;=$D16,S$3+6&gt;=$C16),"■","")</x:f>
      </x:c>
      <x:c r="T16" s="421" t="str">
        <x:f>IF(AND(T$3&lt;=$D16,T$3+6&gt;=$C16),"■","")</x:f>
      </x:c>
      <x:c r="U16" s="421" t="str">
        <x:f>IF(AND(U$3&lt;=$D16,U$3+6&gt;=$C16),"■","")</x:f>
      </x:c>
      <x:c r="V16" s="421" t="str">
        <x:f>IF(AND(V$3&lt;=$D16,V$3+6&gt;=$C16),"■","")</x:f>
      </x:c>
      <x:c r="W16" s="421" t="str">
        <x:f>IF(AND(W$3&lt;=$D16,W$3+6&gt;=$C16),"■","")</x:f>
      </x:c>
      <x:c r="X16" s="421" t="str">
        <x:f>IF(AND(X$3&lt;=$D16,X$3+6&gt;=$C16),"■","")</x:f>
      </x:c>
      <x:c r="Y16" s="421" t="str">
        <x:f>IF(AND(Y$3&lt;=$D16,Y$3+6&gt;=$C16),"■","")</x:f>
      </x:c>
      <x:c r="Z16" s="421" t="str">
        <x:f>IF(AND(Z$3&lt;=$D16,Z$3+6&gt;=$C16),"■","")</x:f>
      </x:c>
      <x:c r="AA16" s="421" t="str">
        <x:f>IF(AND(AA$3&lt;=$D16,AA$3+6&gt;=$C16),"■","")</x:f>
      </x:c>
      <x:c r="AB16" s="421" t="str">
        <x:f>IF(AND(AB$3&lt;=$D16,AB$3+6&gt;=$C16),"■","")</x:f>
      </x:c>
      <x:c r="AC16" s="421" t="str">
        <x:f>IF(AND(AC$3&lt;=$D16,AC$3+6&gt;=$C16),"■","")</x:f>
      </x:c>
      <x:c r="AD16" s="421" t="str">
        <x:f>IF(AND(AD$3&lt;=$D16,AD$3+6&gt;=$C16),"■","")</x:f>
      </x:c>
      <x:c r="AE16" s="421" t="str">
        <x:f>IF(AND(AE$3&lt;=$D16,AE$3+6&gt;=$C16),"■","")</x:f>
      </x:c>
      <x:c r="AF16" s="421" t="str">
        <x:f>IF(AND(AF$3&lt;=$D16,AF$3+6&gt;=$C16),"■","")</x:f>
      </x:c>
      <x:c r="AG16" s="421" t="str">
        <x:f>IF(AND(AG$3&lt;=$D16,AG$3+6&gt;=$C16),"■","")</x:f>
      </x:c>
      <x:c r="AH16" s="421" t="str">
        <x:f>IF(AND(AH$3&lt;=$D16,AH$3+6&gt;=$C16),"■","")</x:f>
      </x:c>
      <x:c r="AI16" s="421" t="str">
        <x:f>IF(AND(AI$3&lt;=$D16,AI$3+6&gt;=$C16),"■","")</x:f>
      </x:c>
      <x:c r="AJ16" s="421" t="str">
        <x:f>IF(AND(AJ$3&lt;=$D16,AJ$3+6&gt;=$C16),"■","")</x:f>
      </x:c>
      <x:c r="AK16" s="421" t="str">
        <x:f>IF(AND(AK$3&lt;=$D16,AK$3+6&gt;=$C16),"■","")</x:f>
      </x:c>
      <x:c r="AL16" s="421" t="str">
        <x:f>IF(AND(AL$3&lt;=$D16,AL$3+6&gt;=$C16),"■","")</x:f>
      </x:c>
      <x:c r="AM16" s="421" t="str">
        <x:f>IF(AND(AM$3&lt;=$D16,AM$3+6&gt;=$C16),"■","")</x:f>
      </x:c>
      <x:c r="AN16" s="421" t="str">
        <x:f>IF(AND(AN$3&lt;=$D16,AN$3+6&gt;=$C16),"■","")</x:f>
      </x:c>
      <x:c r="AO16" s="421" t="str">
        <x:f>IF(AND(AO$3&lt;=$D16,AO$3+6&gt;=$C16),"■","")</x:f>
      </x:c>
      <x:c r="AP16" s="421" t="str">
        <x:f>IF(AND(AP$3&lt;=$D16,AP$3+6&gt;=$C16),"■","")</x:f>
      </x:c>
      <x:c r="AQ16" s="421" t="str">
        <x:f>IF(AND(AQ$3&lt;=$D16,AQ$3+6&gt;=$C16),"■","")</x:f>
      </x:c>
      <x:c r="AR16" s="421" t="str">
        <x:f>IF(AND(AR$3&lt;=$D16,AR$3+6&gt;=$C16),"■","")</x:f>
      </x:c>
      <x:c r="AS16" s="426" t="str">
        <x:f>IF(AND(AS$3&lt;=$D16,AS$3+6&gt;=$C16),"■","")</x:f>
        <x:v>■</x:v>
      </x:c>
      <x:c r="AT16" s="426" t="str">
        <x:f>IF(AND(AT$3&lt;=$D16,AT$3+6&gt;=$C16),"■","")</x:f>
        <x:v>■</x:v>
      </x:c>
      <x:c r="AU16" s="426" t="str">
        <x:f>IF(AND(AU$3&lt;=$D16,AU$3+6&gt;=$C16),"■","")</x:f>
        <x:v>■</x:v>
      </x:c>
      <x:c r="AV16" s="426" t="str">
        <x:f>IF(AND(AV$3&lt;=$D16,AV$3+6&gt;=$C16),"■","")</x:f>
        <x:v>■</x:v>
      </x:c>
    </x:row>
  </x:sheetData>
  <x:mergeCells>
    <x:mergeCell ref="A1:AV1"/>
    <x:mergeCell ref="A2:I2"/>
  </x:mergeCells>
  <x:pageMargins left="0.7" right="0.7" top="0.75" bottom="0.75" header="0.3" footer="0.3"/>
</x:worksheet>
</file>